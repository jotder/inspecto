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&amp; Sequence" sheetId="1" state="visible" r:id="rId1"/>
    <sheet xmlns:r="http://schemas.openxmlformats.org/officeDocument/2006/relationships" name="All 119 Processors" sheetId="2" state="visible" r:id="rId2"/>
    <sheet xmlns:r="http://schemas.openxmlformats.org/officeDocument/2006/relationships" name="Dashboard &amp; KPIs" sheetId="3" state="visible" r:id="rId3"/>
  </sheets>
  <definedNames>
    <definedName name="_xlnm._FilterDatabase" localSheetId="0" hidden="1">'Priority &amp; Sequence'!$A$1:$M$86</definedName>
    <definedName name="_xlnm._FilterDatabase" localSheetId="1" hidden="1">'All 119 Processors'!$A$1:$K$120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E293B"/>
      <sz val="9"/>
    </font>
    <font>
      <name val="Segoe UI"/>
      <b val="1"/>
      <color rgb="00991B1B"/>
      <sz val="9"/>
    </font>
    <font>
      <name val="Consolas"/>
      <color rgb="000F172A"/>
      <sz val="9"/>
    </font>
    <font>
      <name val="Segoe UI"/>
      <color rgb="00475569"/>
      <sz val="9"/>
    </font>
    <font>
      <name val="Segoe UI"/>
      <b val="1"/>
      <color rgb="0092400E"/>
      <sz val="9"/>
    </font>
    <font>
      <name val="Segoe UI"/>
      <b val="1"/>
      <color rgb="009A3412"/>
      <sz val="9"/>
    </font>
    <font>
      <name val="Segoe UI"/>
      <b val="1"/>
      <color rgb="00854D0E"/>
      <sz val="9"/>
    </font>
    <font>
      <name val="Segoe UI"/>
      <b val="1"/>
      <color rgb="00075985"/>
      <sz val="9"/>
    </font>
    <font>
      <name val="Segoe UI"/>
      <color rgb="0064748B"/>
      <sz val="9"/>
    </font>
    <font>
      <name val="Segoe UI"/>
      <b val="1"/>
      <color rgb="00166534"/>
      <sz val="9"/>
    </font>
    <font>
      <name val="Segoe UI"/>
      <b val="1"/>
      <color rgb="000F172A"/>
      <sz val="14"/>
    </font>
    <font>
      <name val="Segoe UI"/>
      <b val="1"/>
      <color rgb="001E293B"/>
      <sz val="11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E0F2FE"/>
        <bgColor rgb="00E0F2FE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/>
    </xf>
    <xf numFmtId="0" fontId="3" fillId="10" borderId="1" pivotButton="0" quotePrefix="0" xfId="0"/>
    <xf numFmtId="164" fontId="3" fillId="1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7" customWidth="1" min="3" max="3"/>
    <col width="16" customWidth="1" min="4" max="4"/>
    <col width="42" customWidth="1" min="5" max="5"/>
    <col width="15" customWidth="1" min="6" max="6"/>
    <col width="46" customWidth="1" min="7" max="7"/>
    <col width="18" customWidth="1" min="8" max="8"/>
    <col width="10" customWidth="1" min="9" max="9"/>
    <col width="25" customWidth="1" min="10" max="10"/>
    <col width="25" customWidth="1" min="11" max="11"/>
    <col width="44" customWidth="1" min="12" max="12"/>
    <col width="55" customWidth="1" min="13" max="13"/>
  </cols>
  <sheetData>
    <row r="1" ht="26" customHeight="1">
      <c r="A1" s="1" t="inlineStr">
        <is>
          <t>Seq #</t>
        </is>
      </c>
      <c r="B1" s="1" t="inlineStr">
        <is>
          <t>Priority</t>
        </is>
      </c>
      <c r="C1" s="2" t="inlineStr">
        <is>
          <t>Target Phase / Sprint</t>
        </is>
      </c>
      <c r="D1" s="2" t="inlineStr">
        <is>
          <t>Processor ID</t>
        </is>
      </c>
      <c r="E1" s="2" t="inlineStr">
        <is>
          <t>Step Processor Name</t>
        </is>
      </c>
      <c r="F1" s="1" t="inlineStr">
        <is>
          <t>Family Code</t>
        </is>
      </c>
      <c r="G1" s="2" t="inlineStr">
        <is>
          <t>Family Name</t>
        </is>
      </c>
      <c r="H1" s="1" t="inlineStr">
        <is>
          <t>Current Status</t>
        </is>
      </c>
      <c r="I1" s="1" t="inlineStr">
        <is>
          <t>Effort</t>
        </is>
      </c>
      <c r="J1" s="2" t="inlineStr">
        <is>
          <t>Assigned Owner / Team</t>
        </is>
      </c>
      <c r="K1" s="2" t="inlineStr">
        <is>
          <t>Target Release / Date</t>
        </is>
      </c>
      <c r="L1" s="2" t="inlineStr">
        <is>
          <t>Key Dependencies &amp; Tech Seam</t>
        </is>
      </c>
      <c r="M1" s="2" t="inlineStr">
        <is>
          <t>Business Impact &amp; Value</t>
        </is>
      </c>
    </row>
    <row r="2" ht="20" customHeight="1">
      <c r="A2" s="3" t="n">
        <v>1</v>
      </c>
      <c r="B2" s="4" t="inlineStr">
        <is>
          <t>P0</t>
        </is>
      </c>
      <c r="C2" s="5" t="inlineStr">
        <is>
          <t>Phase 1: Cloud &amp; Lake</t>
        </is>
      </c>
      <c r="D2" s="6" t="inlineStr">
        <is>
          <t>SP-ACQ-06</t>
        </is>
      </c>
      <c r="E2" s="5" t="inlineStr">
        <is>
          <t>AWS S3 object ingest</t>
        </is>
      </c>
      <c r="F2" s="7" t="inlineStr">
        <is>
          <t>ACQ</t>
        </is>
      </c>
      <c r="G2" s="5" t="inlineStr">
        <is>
          <t>Collectors &amp; Ingestion</t>
        </is>
      </c>
      <c r="H2" s="8" t="inlineStr">
        <is>
          <t>Planned</t>
        </is>
      </c>
      <c r="I2" s="7" t="inlineStr">
        <is>
          <t>Med</t>
        </is>
      </c>
      <c r="J2" s="5" t="inlineStr"/>
      <c r="K2" s="5" t="inlineStr"/>
      <c r="L2" s="5" t="inlineStr">
        <is>
          <t>AWS SDK v2, `inspecto-connectors`</t>
        </is>
      </c>
      <c r="M2" s="5" t="inlineStr">
        <is>
          <t>Cloud file ingestion baseline; table stakes for AWS environments</t>
        </is>
      </c>
    </row>
    <row r="3" ht="20" customHeight="1">
      <c r="A3" s="3" t="n">
        <v>2</v>
      </c>
      <c r="B3" s="4" t="inlineStr">
        <is>
          <t>P0</t>
        </is>
      </c>
      <c r="C3" s="5" t="inlineStr">
        <is>
          <t>Phase 1: Cloud &amp; Lake</t>
        </is>
      </c>
      <c r="D3" s="6" t="inlineStr">
        <is>
          <t>SP-ACQ-07</t>
        </is>
      </c>
      <c r="E3" s="5" t="inlineStr">
        <is>
          <t>Azure Blob &amp; ADLS Gen2 ingest</t>
        </is>
      </c>
      <c r="F3" s="7" t="inlineStr">
        <is>
          <t>ACQ</t>
        </is>
      </c>
      <c r="G3" s="5" t="inlineStr">
        <is>
          <t>Collectors &amp; Ingestion</t>
        </is>
      </c>
      <c r="H3" s="9" t="inlineStr">
        <is>
          <t>Partial</t>
        </is>
      </c>
      <c r="I3" s="7" t="inlineStr">
        <is>
          <t>Low</t>
        </is>
      </c>
      <c r="J3" s="5" t="inlineStr"/>
      <c r="K3" s="5" t="inlineStr"/>
      <c r="L3" s="5" t="inlineStr">
        <is>
          <t>Azure Blob SDK, directory recursion test</t>
        </is>
      </c>
      <c r="M3" s="5" t="inlineStr">
        <is>
          <t>Quick win: verify ADLS Gen2 hierarchy on existing Azure connector</t>
        </is>
      </c>
    </row>
    <row r="4" ht="20" customHeight="1">
      <c r="A4" s="3" t="n">
        <v>3</v>
      </c>
      <c r="B4" s="4" t="inlineStr">
        <is>
          <t>P0</t>
        </is>
      </c>
      <c r="C4" s="5" t="inlineStr">
        <is>
          <t>Phase 1: Core Formats</t>
        </is>
      </c>
      <c r="D4" s="6" t="inlineStr">
        <is>
          <t>SP-PRS-05</t>
        </is>
      </c>
      <c r="E4" s="5" t="inlineStr">
        <is>
          <t>XML / XPath / DOM unpacker</t>
        </is>
      </c>
      <c r="F4" s="7" t="inlineStr">
        <is>
          <t>PRS</t>
        </is>
      </c>
      <c r="G4" s="5" t="inlineStr">
        <is>
          <t>Extraction &amp; Format Parsers</t>
        </is>
      </c>
      <c r="H4" s="9" t="inlineStr">
        <is>
          <t>Partial</t>
        </is>
      </c>
      <c r="I4" s="7" t="inlineStr">
        <is>
          <t>Med</t>
        </is>
      </c>
      <c r="J4" s="5" t="inlineStr"/>
      <c r="K4" s="5" t="inlineStr"/>
      <c r="L4" s="5" t="inlineStr">
        <is>
          <t>StAX / VTD-XML, `parser.xml` node</t>
        </is>
      </c>
      <c r="M4" s="5" t="inlineStr">
        <is>
          <t>Closes major enterprise ingestion gap beyond existing tree plugin</t>
        </is>
      </c>
    </row>
    <row r="5" ht="20" customHeight="1">
      <c r="A5" s="3" t="n">
        <v>4</v>
      </c>
      <c r="B5" s="4" t="inlineStr">
        <is>
          <t>P0</t>
        </is>
      </c>
      <c r="C5" s="5" t="inlineStr">
        <is>
          <t>Phase 1: Core Formats</t>
        </is>
      </c>
      <c r="D5" s="6" t="inlineStr">
        <is>
          <t>SP-PRS-14</t>
        </is>
      </c>
      <c r="E5" s="5" t="inlineStr">
        <is>
          <t>Apache Avro binary decoder</t>
        </is>
      </c>
      <c r="F5" s="7" t="inlineStr">
        <is>
          <t>PRS</t>
        </is>
      </c>
      <c r="G5" s="5" t="inlineStr">
        <is>
          <t>Extraction &amp; Format Parsers</t>
        </is>
      </c>
      <c r="H5" s="8" t="inlineStr">
        <is>
          <t>Planned</t>
        </is>
      </c>
      <c r="I5" s="7" t="inlineStr">
        <is>
          <t>Med</t>
        </is>
      </c>
      <c r="J5" s="5" t="inlineStr"/>
      <c r="K5" s="5" t="inlineStr"/>
      <c r="L5" s="5" t="inlineStr">
        <is>
          <t>DuckDB Avro scanner / Apache Avro</t>
        </is>
      </c>
      <c r="M5" s="5" t="inlineStr">
        <is>
          <t>High-speed ingestion for Kafka dumps and Hadoop migration feeds</t>
        </is>
      </c>
    </row>
    <row r="6" ht="20" customHeight="1">
      <c r="A6" s="3" t="n">
        <v>5</v>
      </c>
      <c r="B6" s="4" t="inlineStr">
        <is>
          <t>P0</t>
        </is>
      </c>
      <c r="C6" s="5" t="inlineStr">
        <is>
          <t>Phase 1: Core Formats</t>
        </is>
      </c>
      <c r="D6" s="6" t="inlineStr">
        <is>
          <t>SP-ACQ-05</t>
        </is>
      </c>
      <c r="E6" s="5" t="inlineStr">
        <is>
          <t>Multi-sheet Excel workbook ingest</t>
        </is>
      </c>
      <c r="F6" s="7" t="inlineStr">
        <is>
          <t>ACQ</t>
        </is>
      </c>
      <c r="G6" s="5" t="inlineStr">
        <is>
          <t>Collectors &amp; Ingestion</t>
        </is>
      </c>
      <c r="H6" s="9" t="inlineStr">
        <is>
          <t>Partial</t>
        </is>
      </c>
      <c r="I6" s="7" t="inlineStr">
        <is>
          <t>Low</t>
        </is>
      </c>
      <c r="J6" s="5" t="inlineStr"/>
      <c r="K6" s="5" t="inlineStr"/>
      <c r="L6" s="5" t="inlineStr">
        <is>
          <t>Apache POI / DuckDB Excel metadata</t>
        </is>
      </c>
      <c r="M6" s="5" t="inlineStr">
        <is>
          <t>Quick win: sheet discovery wrapper feeding existing `parser.xlsx`</t>
        </is>
      </c>
    </row>
    <row r="7" ht="20" customHeight="1">
      <c r="A7" s="3" t="n">
        <v>6</v>
      </c>
      <c r="B7" s="4" t="inlineStr">
        <is>
          <t>P0</t>
        </is>
      </c>
      <c r="C7" s="5" t="inlineStr">
        <is>
          <t>Phase 1: Advanced ETL</t>
        </is>
      </c>
      <c r="D7" s="6" t="inlineStr">
        <is>
          <t>SP-XFM-07</t>
        </is>
      </c>
      <c r="E7" s="5" t="inlineStr">
        <is>
          <t>Dynamic pivot / transpose</t>
        </is>
      </c>
      <c r="F7" s="7" t="inlineStr">
        <is>
          <t>XFM</t>
        </is>
      </c>
      <c r="G7" s="5" t="inlineStr">
        <is>
          <t>Transformers &amp; Dimensional Modeling</t>
        </is>
      </c>
      <c r="H7" s="8" t="inlineStr">
        <is>
          <t>Planned</t>
        </is>
      </c>
      <c r="I7" s="7" t="inlineStr">
        <is>
          <t>Low</t>
        </is>
      </c>
      <c r="J7" s="5" t="inlineStr"/>
      <c r="K7" s="5" t="inlineStr"/>
      <c r="L7" s="5" t="inlineStr">
        <is>
          <t>DuckDB `PIVOT` syntax lowerer</t>
        </is>
      </c>
      <c r="M7" s="5" t="inlineStr">
        <is>
          <t>Critical for financial, tabular, and time-matrix reporting</t>
        </is>
      </c>
    </row>
    <row r="8" ht="20" customHeight="1">
      <c r="A8" s="3" t="n">
        <v>7</v>
      </c>
      <c r="B8" s="4" t="inlineStr">
        <is>
          <t>P0</t>
        </is>
      </c>
      <c r="C8" s="5" t="inlineStr">
        <is>
          <t>Phase 1: Advanced ETL</t>
        </is>
      </c>
      <c r="D8" s="6" t="inlineStr">
        <is>
          <t>SP-XFM-08</t>
        </is>
      </c>
      <c r="E8" s="5" t="inlineStr">
        <is>
          <t>Unpivot / column flattener</t>
        </is>
      </c>
      <c r="F8" s="7" t="inlineStr">
        <is>
          <t>XFM</t>
        </is>
      </c>
      <c r="G8" s="5" t="inlineStr">
        <is>
          <t>Transformers &amp; Dimensional Modeling</t>
        </is>
      </c>
      <c r="H8" s="8" t="inlineStr">
        <is>
          <t>Planned</t>
        </is>
      </c>
      <c r="I8" s="7" t="inlineStr">
        <is>
          <t>Low</t>
        </is>
      </c>
      <c r="J8" s="5" t="inlineStr"/>
      <c r="K8" s="5" t="inlineStr"/>
      <c r="L8" s="5" t="inlineStr">
        <is>
          <t>DuckDB `UNPIVOT` syntax lowerer</t>
        </is>
      </c>
      <c r="M8" s="5" t="inlineStr">
        <is>
          <t>Normalizes wide survey/Excel tables into tidy relational rows</t>
        </is>
      </c>
    </row>
    <row r="9" ht="20" customHeight="1">
      <c r="A9" s="3" t="n">
        <v>8</v>
      </c>
      <c r="B9" s="4" t="inlineStr">
        <is>
          <t>P0</t>
        </is>
      </c>
      <c r="C9" s="5" t="inlineStr">
        <is>
          <t>Phase 1: Quality &amp; Gov</t>
        </is>
      </c>
      <c r="D9" s="6" t="inlineStr">
        <is>
          <t>SP-DQ-06</t>
        </is>
      </c>
      <c r="E9" s="5" t="inlineStr">
        <is>
          <t>Schema drift &amp; new-field detector</t>
        </is>
      </c>
      <c r="F9" s="7" t="inlineStr">
        <is>
          <t>DQ</t>
        </is>
      </c>
      <c r="G9" s="5" t="inlineStr">
        <is>
          <t>Data Quality, Validation &amp; Cleansing</t>
        </is>
      </c>
      <c r="H9" s="9" t="inlineStr">
        <is>
          <t>Partial</t>
        </is>
      </c>
      <c r="I9" s="7" t="inlineStr">
        <is>
          <t>Med</t>
        </is>
      </c>
      <c r="J9" s="5" t="inlineStr"/>
      <c r="K9" s="5" t="inlineStr"/>
      <c r="L9" s="5" t="inlineStr">
        <is>
          <t>Schema comparator, drift event bridge</t>
        </is>
      </c>
      <c r="M9" s="5" t="inlineStr">
        <is>
          <t>Prevents silent data corruption when upstream providers add fields</t>
        </is>
      </c>
    </row>
    <row r="10" ht="20" customHeight="1">
      <c r="A10" s="3" t="n">
        <v>9</v>
      </c>
      <c r="B10" s="4" t="inlineStr">
        <is>
          <t>P0</t>
        </is>
      </c>
      <c r="C10" s="5" t="inlineStr">
        <is>
          <t>Phase 1: Quality &amp; Gov</t>
        </is>
      </c>
      <c r="D10" s="6" t="inlineStr">
        <is>
          <t>SP-SNK-15</t>
        </is>
      </c>
      <c r="E10" s="5" t="inlineStr">
        <is>
          <t>Dead-letter queue (DLQ)</t>
        </is>
      </c>
      <c r="F10" s="7" t="inlineStr">
        <is>
          <t>SNK</t>
        </is>
      </c>
      <c r="G10" s="5" t="inlineStr">
        <is>
          <t>Sinks, Storage &amp; Destinations</t>
        </is>
      </c>
      <c r="H10" s="8" t="inlineStr">
        <is>
          <t>Planned</t>
        </is>
      </c>
      <c r="I10" s="7" t="inlineStr">
        <is>
          <t>Med</t>
        </is>
      </c>
      <c r="J10" s="5" t="inlineStr"/>
      <c r="K10" s="5" t="inlineStr"/>
      <c r="L10" s="5" t="inlineStr">
        <is>
          <t>DLQ store layout, error payload wrapper</t>
        </is>
      </c>
      <c r="M10" s="5" t="inlineStr">
        <is>
          <t>Safe landing for poisoned records without failing batch jobs</t>
        </is>
      </c>
    </row>
    <row r="11" ht="20" customHeight="1">
      <c r="A11" s="3" t="n">
        <v>10</v>
      </c>
      <c r="B11" s="10" t="inlineStr">
        <is>
          <t>P1</t>
        </is>
      </c>
      <c r="C11" s="5" t="inlineStr">
        <is>
          <t>Phase 2: Streaming</t>
        </is>
      </c>
      <c r="D11" s="6" t="inlineStr">
        <is>
          <t>SP-ACQ-09</t>
        </is>
      </c>
      <c r="E11" s="5" t="inlineStr">
        <is>
          <t>Apache Kafka consumer</t>
        </is>
      </c>
      <c r="F11" s="7" t="inlineStr">
        <is>
          <t>ACQ</t>
        </is>
      </c>
      <c r="G11" s="5" t="inlineStr">
        <is>
          <t>Collectors &amp; Ingestion</t>
        </is>
      </c>
      <c r="H11" s="9" t="inlineStr">
        <is>
          <t>Partial</t>
        </is>
      </c>
      <c r="I11" s="7" t="inlineStr">
        <is>
          <t>Med</t>
        </is>
      </c>
      <c r="J11" s="5" t="inlineStr"/>
      <c r="K11" s="5" t="inlineStr"/>
      <c r="L11" s="5" t="inlineStr">
        <is>
          <t>Kafka consumer group, file buffer</t>
        </is>
      </c>
      <c r="M11" s="5" t="inlineStr">
        <is>
          <t>Connects event-driven Kafka topics into micro-batch pipelines</t>
        </is>
      </c>
    </row>
    <row r="12" ht="20" customHeight="1">
      <c r="A12" s="3" t="n">
        <v>11</v>
      </c>
      <c r="B12" s="10" t="inlineStr">
        <is>
          <t>P1</t>
        </is>
      </c>
      <c r="C12" s="5" t="inlineStr">
        <is>
          <t>Phase 2: Streaming</t>
        </is>
      </c>
      <c r="D12" s="6" t="inlineStr">
        <is>
          <t>SP-SNK-11</t>
        </is>
      </c>
      <c r="E12" s="5" t="inlineStr">
        <is>
          <t>Apache Kafka topic producer</t>
        </is>
      </c>
      <c r="F12" s="7" t="inlineStr">
        <is>
          <t>SNK</t>
        </is>
      </c>
      <c r="G12" s="5" t="inlineStr">
        <is>
          <t>Sinks, Storage &amp; Destinations</t>
        </is>
      </c>
      <c r="H12" s="8" t="inlineStr">
        <is>
          <t>Planned</t>
        </is>
      </c>
      <c r="I12" s="7" t="inlineStr">
        <is>
          <t>Med</t>
        </is>
      </c>
      <c r="J12" s="5" t="inlineStr"/>
      <c r="K12" s="5" t="inlineStr"/>
      <c r="L12" s="5" t="inlineStr">
        <is>
          <t>Kafka Producer client, JSON/Avro encoder</t>
        </is>
      </c>
      <c r="M12" s="5" t="inlineStr">
        <is>
          <t>Enables reverse-ETL streaming into downstream consumer buses</t>
        </is>
      </c>
    </row>
    <row r="13" ht="20" customHeight="1">
      <c r="A13" s="3" t="n">
        <v>12</v>
      </c>
      <c r="B13" s="10" t="inlineStr">
        <is>
          <t>P1</t>
        </is>
      </c>
      <c r="C13" s="5" t="inlineStr">
        <is>
          <t>Phase 2: Lakehouse</t>
        </is>
      </c>
      <c r="D13" s="6" t="inlineStr">
        <is>
          <t>SP-ACQ-15</t>
        </is>
      </c>
      <c r="E13" s="5" t="inlineStr">
        <is>
          <t>Delta Lake table reader</t>
        </is>
      </c>
      <c r="F13" s="7" t="inlineStr">
        <is>
          <t>ACQ</t>
        </is>
      </c>
      <c r="G13" s="5" t="inlineStr">
        <is>
          <t>Collectors &amp; Ingestion</t>
        </is>
      </c>
      <c r="H13" s="8" t="inlineStr">
        <is>
          <t>Planned</t>
        </is>
      </c>
      <c r="I13" s="7" t="inlineStr">
        <is>
          <t>High</t>
        </is>
      </c>
      <c r="J13" s="5" t="inlineStr"/>
      <c r="K13" s="5" t="inlineStr"/>
      <c r="L13" s="5" t="inlineStr">
        <is>
          <t>`delta-kernel-java` / DuckDB Delta ext</t>
        </is>
      </c>
      <c r="M13" s="5" t="inlineStr">
        <is>
          <t>Ingests versioned Delta tables directly from Databricks / S3</t>
        </is>
      </c>
    </row>
    <row r="14" ht="20" customHeight="1">
      <c r="A14" s="3" t="n">
        <v>13</v>
      </c>
      <c r="B14" s="10" t="inlineStr">
        <is>
          <t>P1</t>
        </is>
      </c>
      <c r="C14" s="5" t="inlineStr">
        <is>
          <t>Phase 2: Lakehouse</t>
        </is>
      </c>
      <c r="D14" s="6" t="inlineStr">
        <is>
          <t>SP-SNK-07</t>
        </is>
      </c>
      <c r="E14" s="5" t="inlineStr">
        <is>
          <t>Delta Lake table sink</t>
        </is>
      </c>
      <c r="F14" s="7" t="inlineStr">
        <is>
          <t>SNK</t>
        </is>
      </c>
      <c r="G14" s="5" t="inlineStr">
        <is>
          <t>Sinks, Storage &amp; Destinations</t>
        </is>
      </c>
      <c r="H14" s="8" t="inlineStr">
        <is>
          <t>Planned</t>
        </is>
      </c>
      <c r="I14" s="7" t="inlineStr">
        <is>
          <t>High</t>
        </is>
      </c>
      <c r="J14" s="5" t="inlineStr"/>
      <c r="K14" s="5" t="inlineStr"/>
      <c r="L14" s="5" t="inlineStr">
        <is>
          <t>Delta Lake ACID transaction commit</t>
        </is>
      </c>
      <c r="M14" s="5" t="inlineStr">
        <is>
          <t>Commits pipeline outputs directly into Lakehouse Delta tables</t>
        </is>
      </c>
    </row>
    <row r="15" ht="20" customHeight="1">
      <c r="A15" s="3" t="n">
        <v>14</v>
      </c>
      <c r="B15" s="10" t="inlineStr">
        <is>
          <t>P1</t>
        </is>
      </c>
      <c r="C15" s="5" t="inlineStr">
        <is>
          <t>Phase 2: Lakehouse</t>
        </is>
      </c>
      <c r="D15" s="6" t="inlineStr">
        <is>
          <t>SP-ACQ-16</t>
        </is>
      </c>
      <c r="E15" s="5" t="inlineStr">
        <is>
          <t>Apache Iceberg table ingest</t>
        </is>
      </c>
      <c r="F15" s="7" t="inlineStr">
        <is>
          <t>ACQ</t>
        </is>
      </c>
      <c r="G15" s="5" t="inlineStr">
        <is>
          <t>Collectors &amp; Ingestion</t>
        </is>
      </c>
      <c r="H15" s="8" t="inlineStr">
        <is>
          <t>Planned</t>
        </is>
      </c>
      <c r="I15" s="7" t="inlineStr">
        <is>
          <t>High</t>
        </is>
      </c>
      <c r="J15" s="5" t="inlineStr"/>
      <c r="K15" s="5" t="inlineStr"/>
      <c r="L15" s="5" t="inlineStr">
        <is>
          <t>Iceberg Core client, catalog reader</t>
        </is>
      </c>
      <c r="M15" s="5" t="inlineStr">
        <is>
          <t>Interoperability with Snowflake/Trino Iceberg storage</t>
        </is>
      </c>
    </row>
    <row r="16" ht="20" customHeight="1">
      <c r="A16" s="3" t="n">
        <v>15</v>
      </c>
      <c r="B16" s="10" t="inlineStr">
        <is>
          <t>P1</t>
        </is>
      </c>
      <c r="C16" s="5" t="inlineStr">
        <is>
          <t>Phase 2: Lakehouse</t>
        </is>
      </c>
      <c r="D16" s="6" t="inlineStr">
        <is>
          <t>SP-SNK-08</t>
        </is>
      </c>
      <c r="E16" s="5" t="inlineStr">
        <is>
          <t>Apache Iceberg append/upsert sink</t>
        </is>
      </c>
      <c r="F16" s="7" t="inlineStr">
        <is>
          <t>SNK</t>
        </is>
      </c>
      <c r="G16" s="5" t="inlineStr">
        <is>
          <t>Sinks, Storage &amp; Destinations</t>
        </is>
      </c>
      <c r="H16" s="8" t="inlineStr">
        <is>
          <t>Planned</t>
        </is>
      </c>
      <c r="I16" s="7" t="inlineStr">
        <is>
          <t>High</t>
        </is>
      </c>
      <c r="J16" s="5" t="inlineStr"/>
      <c r="K16" s="5" t="inlineStr"/>
      <c r="L16" s="5" t="inlineStr">
        <is>
          <t>Iceberg manifest commit coordinator</t>
        </is>
      </c>
      <c r="M16" s="5" t="inlineStr">
        <is>
          <t>Multi-engine lakehouse destination standard</t>
        </is>
      </c>
    </row>
    <row r="17" ht="20" customHeight="1">
      <c r="A17" s="3" t="n">
        <v>16</v>
      </c>
      <c r="B17" s="10" t="inlineStr">
        <is>
          <t>P1</t>
        </is>
      </c>
      <c r="C17" s="5" t="inlineStr">
        <is>
          <t>Phase 2: Modeling</t>
        </is>
      </c>
      <c r="D17" s="6" t="inlineStr">
        <is>
          <t>SP-XFM-12</t>
        </is>
      </c>
      <c r="E17" s="5" t="inlineStr">
        <is>
          <t>Slowly changing dimension (SCD2)</t>
        </is>
      </c>
      <c r="F17" s="7" t="inlineStr">
        <is>
          <t>XFM</t>
        </is>
      </c>
      <c r="G17" s="5" t="inlineStr">
        <is>
          <t>Transformers &amp; Dimensional Modeling</t>
        </is>
      </c>
      <c r="H17" s="8" t="inlineStr">
        <is>
          <t>Planned</t>
        </is>
      </c>
      <c r="I17" s="7" t="inlineStr">
        <is>
          <t>Med</t>
        </is>
      </c>
      <c r="J17" s="5" t="inlineStr"/>
      <c r="K17" s="5" t="inlineStr"/>
      <c r="L17" s="5" t="inlineStr">
        <is>
          <t>Key anti-join, `valid_from`/`valid_to`</t>
        </is>
      </c>
      <c r="M17" s="5" t="inlineStr">
        <is>
          <t>Essential dimensional warehouse history tracking</t>
        </is>
      </c>
    </row>
    <row r="18" ht="20" customHeight="1">
      <c r="A18" s="3" t="n">
        <v>17</v>
      </c>
      <c r="B18" s="10" t="inlineStr">
        <is>
          <t>P1</t>
        </is>
      </c>
      <c r="C18" s="5" t="inlineStr">
        <is>
          <t>Phase 2: Modeling</t>
        </is>
      </c>
      <c r="D18" s="6" t="inlineStr">
        <is>
          <t>SP-XFM-09</t>
        </is>
      </c>
      <c r="E18" s="5" t="inlineStr">
        <is>
          <t>Rank &amp; Top-N pruner</t>
        </is>
      </c>
      <c r="F18" s="7" t="inlineStr">
        <is>
          <t>XFM</t>
        </is>
      </c>
      <c r="G18" s="5" t="inlineStr">
        <is>
          <t>Transformers &amp; Dimensional Modeling</t>
        </is>
      </c>
      <c r="H18" s="8" t="inlineStr">
        <is>
          <t>Planned</t>
        </is>
      </c>
      <c r="I18" s="7" t="inlineStr">
        <is>
          <t>Low</t>
        </is>
      </c>
      <c r="J18" s="5" t="inlineStr"/>
      <c r="K18" s="5" t="inlineStr"/>
      <c r="L18" s="5" t="inlineStr">
        <is>
          <t>DuckDB `ROW_NUMBER() / QUALIFY`</t>
        </is>
      </c>
      <c r="M18" s="5" t="inlineStr">
        <is>
          <t>High-utility row pruner for leaderboards and deduplication</t>
        </is>
      </c>
    </row>
    <row r="19" ht="20" customHeight="1">
      <c r="A19" s="3" t="n">
        <v>18</v>
      </c>
      <c r="B19" s="10" t="inlineStr">
        <is>
          <t>P1</t>
        </is>
      </c>
      <c r="C19" s="5" t="inlineStr">
        <is>
          <t>Phase 2: Modeling</t>
        </is>
      </c>
      <c r="D19" s="6" t="inlineStr">
        <is>
          <t>SP-XFM-10</t>
        </is>
      </c>
      <c r="E19" s="5" t="inlineStr">
        <is>
          <t>Array / object exploder &amp; flattener</t>
        </is>
      </c>
      <c r="F19" s="7" t="inlineStr">
        <is>
          <t>XFM</t>
        </is>
      </c>
      <c r="G19" s="5" t="inlineStr">
        <is>
          <t>Transformers &amp; Dimensional Modeling</t>
        </is>
      </c>
      <c r="H19" s="8" t="inlineStr">
        <is>
          <t>Planned</t>
        </is>
      </c>
      <c r="I19" s="7" t="inlineStr">
        <is>
          <t>Low</t>
        </is>
      </c>
      <c r="J19" s="5" t="inlineStr"/>
      <c r="K19" s="5" t="inlineStr"/>
      <c r="L19" s="5" t="inlineStr">
        <is>
          <t>DuckDB `UNNEST` lowerer</t>
        </is>
      </c>
      <c r="M19" s="5" t="inlineStr">
        <is>
          <t>Flattens repeated JSON arrays into separate relation rows</t>
        </is>
      </c>
    </row>
    <row r="20" ht="20" customHeight="1">
      <c r="A20" s="3" t="n">
        <v>19</v>
      </c>
      <c r="B20" s="10" t="inlineStr">
        <is>
          <t>P1</t>
        </is>
      </c>
      <c r="C20" s="5" t="inlineStr">
        <is>
          <t>Phase 2: Modeling</t>
        </is>
      </c>
      <c r="D20" s="6" t="inlineStr">
        <is>
          <t>SP-XFM-13</t>
        </is>
      </c>
      <c r="E20" s="5" t="inlineStr">
        <is>
          <t>Monotonic surrogate key generator</t>
        </is>
      </c>
      <c r="F20" s="7" t="inlineStr">
        <is>
          <t>XFM</t>
        </is>
      </c>
      <c r="G20" s="5" t="inlineStr">
        <is>
          <t>Transformers &amp; Dimensional Modeling</t>
        </is>
      </c>
      <c r="H20" s="8" t="inlineStr">
        <is>
          <t>Planned</t>
        </is>
      </c>
      <c r="I20" s="7" t="inlineStr">
        <is>
          <t>Low</t>
        </is>
      </c>
      <c r="J20" s="5" t="inlineStr"/>
      <c r="K20" s="5" t="inlineStr"/>
      <c r="L20" s="5" t="inlineStr">
        <is>
          <t>Watermark offset + sequence generator</t>
        </is>
      </c>
      <c r="M20" s="5" t="inlineStr">
        <is>
          <t>Generates consistent primary integer keys for star schemas</t>
        </is>
      </c>
    </row>
    <row r="21" ht="20" customHeight="1">
      <c r="A21" s="3" t="n">
        <v>20</v>
      </c>
      <c r="B21" s="10" t="inlineStr">
        <is>
          <t>P1</t>
        </is>
      </c>
      <c r="C21" s="5" t="inlineStr">
        <is>
          <t>Phase 2: Enrichment</t>
        </is>
      </c>
      <c r="D21" s="6" t="inlineStr">
        <is>
          <t>SP-ENR-03</t>
        </is>
      </c>
      <c r="E21" s="5" t="inlineStr">
        <is>
          <t>Redis in-memory cache lookup</t>
        </is>
      </c>
      <c r="F21" s="7" t="inlineStr">
        <is>
          <t>ENR</t>
        </is>
      </c>
      <c r="G21" s="5" t="inlineStr">
        <is>
          <t>Enrichment, Entity Resolution &amp; AI/ML</t>
        </is>
      </c>
      <c r="H21" s="8" t="inlineStr">
        <is>
          <t>Planned</t>
        </is>
      </c>
      <c r="I21" s="7" t="inlineStr">
        <is>
          <t>Med</t>
        </is>
      </c>
      <c r="J21" s="5" t="inlineStr"/>
      <c r="K21" s="5" t="inlineStr"/>
      <c r="L21" s="5" t="inlineStr">
        <is>
          <t>Lettuce / Jedis client, connection pool</t>
        </is>
      </c>
      <c r="M21" s="5" t="inlineStr">
        <is>
          <t>Sub-millisecond reference lookup for IDs, sessions, user flags</t>
        </is>
      </c>
    </row>
    <row r="22" ht="20" customHeight="1">
      <c r="A22" s="3" t="n">
        <v>21</v>
      </c>
      <c r="B22" s="10" t="inlineStr">
        <is>
          <t>P1</t>
        </is>
      </c>
      <c r="C22" s="5" t="inlineStr">
        <is>
          <t>Phase 2: Enrichment</t>
        </is>
      </c>
      <c r="D22" s="6" t="inlineStr">
        <is>
          <t>SP-ENR-04</t>
        </is>
      </c>
      <c r="E22" s="5" t="inlineStr">
        <is>
          <t>Dynamic microservice REST enricher</t>
        </is>
      </c>
      <c r="F22" s="7" t="inlineStr">
        <is>
          <t>ENR</t>
        </is>
      </c>
      <c r="G22" s="5" t="inlineStr">
        <is>
          <t>Enrichment, Entity Resolution &amp; AI/ML</t>
        </is>
      </c>
      <c r="H22" s="8" t="inlineStr">
        <is>
          <t>Planned</t>
        </is>
      </c>
      <c r="I22" s="7" t="inlineStr">
        <is>
          <t>Med</t>
        </is>
      </c>
      <c r="J22" s="5" t="inlineStr"/>
      <c r="K22" s="5" t="inlineStr"/>
      <c r="L22" s="5" t="inlineStr">
        <is>
          <t>Async HTTP client, token bucket rate</t>
        </is>
      </c>
      <c r="M22" s="5" t="inlineStr">
        <is>
          <t>In-flight REST API enrichment for live external data lookups</t>
        </is>
      </c>
    </row>
    <row r="23" ht="20" customHeight="1">
      <c r="A23" s="3" t="n">
        <v>22</v>
      </c>
      <c r="B23" s="10" t="inlineStr">
        <is>
          <t>P1</t>
        </is>
      </c>
      <c r="C23" s="5" t="inlineStr">
        <is>
          <t>Phase 2: Security (Ent)</t>
        </is>
      </c>
      <c r="D23" s="6" t="inlineStr">
        <is>
          <t>SP-DQ-12</t>
        </is>
      </c>
      <c r="E23" s="5" t="inlineStr">
        <is>
          <t>PII masking &amp; tokenization</t>
        </is>
      </c>
      <c r="F23" s="7" t="inlineStr">
        <is>
          <t>DQ</t>
        </is>
      </c>
      <c r="G23" s="5" t="inlineStr">
        <is>
          <t>Data Quality, Validation &amp; Cleansing</t>
        </is>
      </c>
      <c r="H23" s="8" t="inlineStr">
        <is>
          <t>Planned</t>
        </is>
      </c>
      <c r="I23" s="7" t="inlineStr">
        <is>
          <t>Med</t>
        </is>
      </c>
      <c r="J23" s="5" t="inlineStr"/>
      <c r="K23" s="5" t="inlineStr"/>
      <c r="L23" s="5" t="inlineStr">
        <is>
          <t>Regex mask templates, FPE engine</t>
        </is>
      </c>
      <c r="M23" s="5" t="inlineStr">
        <is>
          <t>Regulatory compliance (GDPR/HIPAA) for sensitive data masking</t>
        </is>
      </c>
    </row>
    <row r="24" ht="20" customHeight="1">
      <c r="A24" s="3" t="n">
        <v>23</v>
      </c>
      <c r="B24" s="10" t="inlineStr">
        <is>
          <t>P1</t>
        </is>
      </c>
      <c r="C24" s="5" t="inlineStr">
        <is>
          <t>Phase 2: Security (Ent)</t>
        </is>
      </c>
      <c r="D24" s="6" t="inlineStr">
        <is>
          <t>SP-DQ-14</t>
        </is>
      </c>
      <c r="E24" s="5" t="inlineStr">
        <is>
          <t>GDPR / CCPA field redactor</t>
        </is>
      </c>
      <c r="F24" s="7" t="inlineStr">
        <is>
          <t>DQ</t>
        </is>
      </c>
      <c r="G24" s="5" t="inlineStr">
        <is>
          <t>Data Quality, Validation &amp; Cleansing</t>
        </is>
      </c>
      <c r="H24" s="8" t="inlineStr">
        <is>
          <t>Planned</t>
        </is>
      </c>
      <c r="I24" s="7" t="inlineStr">
        <is>
          <t>Med</t>
        </is>
      </c>
      <c r="J24" s="5" t="inlineStr"/>
      <c r="K24" s="5" t="inlineStr"/>
      <c r="L24" s="5" t="inlineStr">
        <is>
          <t>Subject key matching, NULL overwriter</t>
        </is>
      </c>
      <c r="M24" s="5" t="inlineStr">
        <is>
          <t>Automated data subject right-to-be-forgotten erasure</t>
        </is>
      </c>
    </row>
    <row r="25" ht="20" customHeight="1">
      <c r="A25" s="3" t="n">
        <v>24</v>
      </c>
      <c r="B25" s="10" t="inlineStr">
        <is>
          <t>P1</t>
        </is>
      </c>
      <c r="C25" s="5" t="inlineStr">
        <is>
          <t>Phase 2: Integrations</t>
        </is>
      </c>
      <c r="D25" s="6" t="inlineStr">
        <is>
          <t>SP-SNK-14</t>
        </is>
      </c>
      <c r="E25" s="5" t="inlineStr">
        <is>
          <t>Outbound webhook dispatcher</t>
        </is>
      </c>
      <c r="F25" s="7" t="inlineStr">
        <is>
          <t>SNK</t>
        </is>
      </c>
      <c r="G25" s="5" t="inlineStr">
        <is>
          <t>Sinks, Storage &amp; Destinations</t>
        </is>
      </c>
      <c r="H25" s="9" t="inlineStr">
        <is>
          <t>Partial</t>
        </is>
      </c>
      <c r="I25" s="7" t="inlineStr">
        <is>
          <t>Low</t>
        </is>
      </c>
      <c r="J25" s="5" t="inlineStr"/>
      <c r="K25" s="5" t="inlineStr"/>
      <c r="L25" s="5" t="inlineStr">
        <is>
          <t>Webhook POST executor, retry policy</t>
        </is>
      </c>
      <c r="M25" s="5" t="inlineStr">
        <is>
          <t>Pushes event batches directly to third-party HTTP receivers</t>
        </is>
      </c>
    </row>
    <row r="26" ht="20" customHeight="1">
      <c r="A26" s="3" t="n">
        <v>25</v>
      </c>
      <c r="B26" s="10" t="inlineStr">
        <is>
          <t>P1</t>
        </is>
      </c>
      <c r="C26" s="5" t="inlineStr">
        <is>
          <t>Phase 2: Integrations</t>
        </is>
      </c>
      <c r="D26" s="6" t="inlineStr">
        <is>
          <t>SP-SNK-13</t>
        </is>
      </c>
      <c r="E26" s="5" t="inlineStr">
        <is>
          <t>Email &amp; report dispatcher</t>
        </is>
      </c>
      <c r="F26" s="7" t="inlineStr">
        <is>
          <t>SNK</t>
        </is>
      </c>
      <c r="G26" s="5" t="inlineStr">
        <is>
          <t>Sinks, Storage &amp; Destinations</t>
        </is>
      </c>
      <c r="H26" s="9" t="inlineStr">
        <is>
          <t>Partial</t>
        </is>
      </c>
      <c r="I26" s="7" t="inlineStr">
        <is>
          <t>Low</t>
        </is>
      </c>
      <c r="J26" s="5" t="inlineStr"/>
      <c r="K26" s="5" t="inlineStr"/>
      <c r="L26" s="5" t="inlineStr">
        <is>
          <t>Wire `mail.send` job to sink seam</t>
        </is>
      </c>
      <c r="M26" s="5" t="inlineStr">
        <is>
          <t>Sends scheduled data extracts and reports via email</t>
        </is>
      </c>
    </row>
    <row r="27" ht="20" customHeight="1">
      <c r="A27" s="3" t="n">
        <v>26</v>
      </c>
      <c r="B27" s="11" t="inlineStr">
        <is>
          <t>P2</t>
        </is>
      </c>
      <c r="C27" s="5" t="inlineStr">
        <is>
          <t>Phase 3: Multi-Cloud</t>
        </is>
      </c>
      <c r="D27" s="6" t="inlineStr">
        <is>
          <t>SP-ACQ-08</t>
        </is>
      </c>
      <c r="E27" s="5" t="inlineStr">
        <is>
          <t>Google Cloud Storage ingest</t>
        </is>
      </c>
      <c r="F27" s="7" t="inlineStr">
        <is>
          <t>ACQ</t>
        </is>
      </c>
      <c r="G27" s="5" t="inlineStr">
        <is>
          <t>Collectors &amp; Ingestion</t>
        </is>
      </c>
      <c r="H27" s="8" t="inlineStr">
        <is>
          <t>Planned</t>
        </is>
      </c>
      <c r="I27" s="7" t="inlineStr">
        <is>
          <t>Med</t>
        </is>
      </c>
      <c r="J27" s="5" t="inlineStr"/>
      <c r="K27" s="5" t="inlineStr"/>
      <c r="L27" s="5" t="inlineStr">
        <is>
          <t>Google Cloud Storage client SDK</t>
        </is>
      </c>
      <c r="M27" s="5" t="inlineStr">
        <is>
          <t>Completes the tri-cloud storage ingest suite (AWS, Azure, GCP)</t>
        </is>
      </c>
    </row>
    <row r="28" ht="20" customHeight="1">
      <c r="A28" s="3" t="n">
        <v>27</v>
      </c>
      <c r="B28" s="11" t="inlineStr">
        <is>
          <t>P2</t>
        </is>
      </c>
      <c r="C28" s="5" t="inlineStr">
        <is>
          <t>Phase 3: Multi-Cloud</t>
        </is>
      </c>
      <c r="D28" s="6" t="inlineStr">
        <is>
          <t>SP-ACQ-17</t>
        </is>
      </c>
      <c r="E28" s="5" t="inlineStr">
        <is>
          <t>Snowflake / BigQuery ingest</t>
        </is>
      </c>
      <c r="F28" s="7" t="inlineStr">
        <is>
          <t>ACQ</t>
        </is>
      </c>
      <c r="G28" s="5" t="inlineStr">
        <is>
          <t>Collectors &amp; Ingestion</t>
        </is>
      </c>
      <c r="H28" s="8" t="inlineStr">
        <is>
          <t>Planned</t>
        </is>
      </c>
      <c r="I28" s="7" t="inlineStr">
        <is>
          <t>Med</t>
        </is>
      </c>
      <c r="J28" s="5" t="inlineStr"/>
      <c r="K28" s="5" t="inlineStr"/>
      <c r="L28" s="5" t="inlineStr">
        <is>
          <t>Cloud warehouse JDBC / Arrow Flight</t>
        </is>
      </c>
      <c r="M28" s="5" t="inlineStr">
        <is>
          <t>High-speed bulk read from enterprise cloud warehouses</t>
        </is>
      </c>
    </row>
    <row r="29" ht="20" customHeight="1">
      <c r="A29" s="3" t="n">
        <v>28</v>
      </c>
      <c r="B29" s="11" t="inlineStr">
        <is>
          <t>P2</t>
        </is>
      </c>
      <c r="C29" s="5" t="inlineStr">
        <is>
          <t>Phase 3: Connectors</t>
        </is>
      </c>
      <c r="D29" s="6" t="inlineStr">
        <is>
          <t>SP-ACQ-18</t>
        </is>
      </c>
      <c r="E29" s="5" t="inlineStr">
        <is>
          <t>REST API poller &amp; paged ingest</t>
        </is>
      </c>
      <c r="F29" s="7" t="inlineStr">
        <is>
          <t>ACQ</t>
        </is>
      </c>
      <c r="G29" s="5" t="inlineStr">
        <is>
          <t>Collectors &amp; Ingestion</t>
        </is>
      </c>
      <c r="H29" s="8" t="inlineStr">
        <is>
          <t>Planned</t>
        </is>
      </c>
      <c r="I29" s="7" t="inlineStr">
        <is>
          <t>Med</t>
        </is>
      </c>
      <c r="J29" s="5" t="inlineStr"/>
      <c r="K29" s="5" t="inlineStr"/>
      <c r="L29" s="5" t="inlineStr">
        <is>
          <t>HTTP pagination handler (cursor/page)</t>
        </is>
      </c>
      <c r="M29" s="5" t="inlineStr">
        <is>
          <t>Pulls from SaaS REST endpoints (Salesforce, Stripe, Jira)</t>
        </is>
      </c>
    </row>
    <row r="30" ht="20" customHeight="1">
      <c r="A30" s="3" t="n">
        <v>29</v>
      </c>
      <c r="B30" s="11" t="inlineStr">
        <is>
          <t>P2</t>
        </is>
      </c>
      <c r="C30" s="5" t="inlineStr">
        <is>
          <t>Phase 3: Connectors</t>
        </is>
      </c>
      <c r="D30" s="6" t="inlineStr">
        <is>
          <t>SP-ACQ-19</t>
        </is>
      </c>
      <c r="E30" s="5" t="inlineStr">
        <is>
          <t>HTTP webhook listener endpoint</t>
        </is>
      </c>
      <c r="F30" s="7" t="inlineStr">
        <is>
          <t>ACQ</t>
        </is>
      </c>
      <c r="G30" s="5" t="inlineStr">
        <is>
          <t>Collectors &amp; Ingestion</t>
        </is>
      </c>
      <c r="H30" s="8" t="inlineStr">
        <is>
          <t>Planned</t>
        </is>
      </c>
      <c r="I30" s="7" t="inlineStr">
        <is>
          <t>Med</t>
        </is>
      </c>
      <c r="J30" s="5" t="inlineStr"/>
      <c r="K30" s="5" t="inlineStr"/>
      <c r="L30" s="5" t="inlineStr">
        <is>
          <t>Inbound HTTP handler, HMAC validator</t>
        </is>
      </c>
      <c r="M30" s="5" t="inlineStr">
        <is>
          <t>Real-time push ingestion for third-party webhook payloads</t>
        </is>
      </c>
    </row>
    <row r="31" ht="20" customHeight="1">
      <c r="A31" s="3" t="n">
        <v>30</v>
      </c>
      <c r="B31" s="11" t="inlineStr">
        <is>
          <t>P2</t>
        </is>
      </c>
      <c r="C31" s="5" t="inlineStr">
        <is>
          <t>Phase 3: Formats</t>
        </is>
      </c>
      <c r="D31" s="6" t="inlineStr">
        <is>
          <t>SP-PRS-13</t>
        </is>
      </c>
      <c r="E31" s="5" t="inlineStr">
        <is>
          <t>Protocol Buffers decoder</t>
        </is>
      </c>
      <c r="F31" s="7" t="inlineStr">
        <is>
          <t>PRS</t>
        </is>
      </c>
      <c r="G31" s="5" t="inlineStr">
        <is>
          <t>Extraction &amp; Format Parsers</t>
        </is>
      </c>
      <c r="H31" s="8" t="inlineStr">
        <is>
          <t>Planned</t>
        </is>
      </c>
      <c r="I31" s="7" t="inlineStr">
        <is>
          <t>Med</t>
        </is>
      </c>
      <c r="J31" s="5" t="inlineStr"/>
      <c r="K31" s="5" t="inlineStr"/>
      <c r="L31" s="5" t="inlineStr">
        <is>
          <t>Dynamic Protobuf schema loader</t>
        </is>
      </c>
      <c r="M31" s="5" t="inlineStr">
        <is>
          <t>High-efficiency binary serialization parsing</t>
        </is>
      </c>
    </row>
    <row r="32" ht="20" customHeight="1">
      <c r="A32" s="3" t="n">
        <v>31</v>
      </c>
      <c r="B32" s="11" t="inlineStr">
        <is>
          <t>P2</t>
        </is>
      </c>
      <c r="C32" s="5" t="inlineStr">
        <is>
          <t>Phase 3: Formats</t>
        </is>
      </c>
      <c r="D32" s="6" t="inlineStr">
        <is>
          <t>SP-PRS-16</t>
        </is>
      </c>
      <c r="E32" s="5" t="inlineStr">
        <is>
          <t>Grok / Logstash expression matcher</t>
        </is>
      </c>
      <c r="F32" s="7" t="inlineStr">
        <is>
          <t>PRS</t>
        </is>
      </c>
      <c r="G32" s="5" t="inlineStr">
        <is>
          <t>Extraction &amp; Format Parsers</t>
        </is>
      </c>
      <c r="H32" s="8" t="inlineStr">
        <is>
          <t>Planned</t>
        </is>
      </c>
      <c r="I32" s="7" t="inlineStr">
        <is>
          <t>Low</t>
        </is>
      </c>
      <c r="J32" s="5" t="inlineStr"/>
      <c r="K32" s="5" t="inlineStr"/>
      <c r="L32" s="5" t="inlineStr">
        <is>
          <t>Java Grok library, regex compiler</t>
        </is>
      </c>
      <c r="M32" s="5" t="inlineStr">
        <is>
          <t>Ingests unstructured infrastructure and application log lines</t>
        </is>
      </c>
    </row>
    <row r="33" ht="20" customHeight="1">
      <c r="A33" s="3" t="n">
        <v>32</v>
      </c>
      <c r="B33" s="11" t="inlineStr">
        <is>
          <t>P2</t>
        </is>
      </c>
      <c r="C33" s="5" t="inlineStr">
        <is>
          <t>Phase 3: Formats</t>
        </is>
      </c>
      <c r="D33" s="6" t="inlineStr">
        <is>
          <t>SP-PRS-17</t>
        </is>
      </c>
      <c r="E33" s="5" t="inlineStr">
        <is>
          <t>Syslog RFC 5424 / RFC 3164 parser</t>
        </is>
      </c>
      <c r="F33" s="7" t="inlineStr">
        <is>
          <t>PRS</t>
        </is>
      </c>
      <c r="G33" s="5" t="inlineStr">
        <is>
          <t>Extraction &amp; Format Parsers</t>
        </is>
      </c>
      <c r="H33" s="8" t="inlineStr">
        <is>
          <t>Planned</t>
        </is>
      </c>
      <c r="I33" s="7" t="inlineStr">
        <is>
          <t>Low</t>
        </is>
      </c>
      <c r="J33" s="5" t="inlineStr"/>
      <c r="K33" s="5" t="inlineStr"/>
      <c r="L33" s="5" t="inlineStr">
        <is>
          <t>Syslog header tokenizer</t>
        </is>
      </c>
      <c r="M33" s="5" t="inlineStr">
        <is>
          <t>Standardized network and Linux system log parsing</t>
        </is>
      </c>
    </row>
    <row r="34" ht="20" customHeight="1">
      <c r="A34" s="3" t="n">
        <v>33</v>
      </c>
      <c r="B34" s="11" t="inlineStr">
        <is>
          <t>P2</t>
        </is>
      </c>
      <c r="C34" s="5" t="inlineStr">
        <is>
          <t>Phase 3: Formats</t>
        </is>
      </c>
      <c r="D34" s="6" t="inlineStr">
        <is>
          <t>SP-PRS-09</t>
        </is>
      </c>
      <c r="E34" s="5" t="inlineStr">
        <is>
          <t>Key-value / logfmt parser</t>
        </is>
      </c>
      <c r="F34" s="7" t="inlineStr">
        <is>
          <t>PRS</t>
        </is>
      </c>
      <c r="G34" s="5" t="inlineStr">
        <is>
          <t>Extraction &amp; Format Parsers</t>
        </is>
      </c>
      <c r="H34" s="8" t="inlineStr">
        <is>
          <t>Planned</t>
        </is>
      </c>
      <c r="I34" s="7" t="inlineStr">
        <is>
          <t>Low</t>
        </is>
      </c>
      <c r="J34" s="5" t="inlineStr"/>
      <c r="K34" s="5" t="inlineStr"/>
      <c r="L34" s="5" t="inlineStr">
        <is>
          <t>Logfmt scanner / tokenizer</t>
        </is>
      </c>
      <c r="M34" s="5" t="inlineStr">
        <is>
          <t>Parses structured key-value log formats</t>
        </is>
      </c>
    </row>
    <row r="35" ht="20" customHeight="1">
      <c r="A35" s="3" t="n">
        <v>34</v>
      </c>
      <c r="B35" s="11" t="inlineStr">
        <is>
          <t>P2</t>
        </is>
      </c>
      <c r="C35" s="5" t="inlineStr">
        <is>
          <t>Phase 3: Formats</t>
        </is>
      </c>
      <c r="D35" s="6" t="inlineStr">
        <is>
          <t>SP-PRS-10</t>
        </is>
      </c>
      <c r="E35" s="5" t="inlineStr">
        <is>
          <t>YAML document slicer</t>
        </is>
      </c>
      <c r="F35" s="7" t="inlineStr">
        <is>
          <t>PRS</t>
        </is>
      </c>
      <c r="G35" s="5" t="inlineStr">
        <is>
          <t>Extraction &amp; Format Parsers</t>
        </is>
      </c>
      <c r="H35" s="8" t="inlineStr">
        <is>
          <t>Planned</t>
        </is>
      </c>
      <c r="I35" s="7" t="inlineStr">
        <is>
          <t>Low</t>
        </is>
      </c>
      <c r="J35" s="5" t="inlineStr"/>
      <c r="K35" s="5" t="inlineStr"/>
      <c r="L35" s="5" t="inlineStr">
        <is>
          <t>SnakeYAML parser</t>
        </is>
      </c>
      <c r="M35" s="5" t="inlineStr">
        <is>
          <t>Ingests Kubernetes and application YAML manifests</t>
        </is>
      </c>
    </row>
    <row r="36" ht="20" customHeight="1">
      <c r="A36" s="3" t="n">
        <v>35</v>
      </c>
      <c r="B36" s="11" t="inlineStr">
        <is>
          <t>P2</t>
        </is>
      </c>
      <c r="C36" s="5" t="inlineStr">
        <is>
          <t>Phase 3: Quality</t>
        </is>
      </c>
      <c r="D36" s="6" t="inlineStr">
        <is>
          <t>SP-DQ-09</t>
        </is>
      </c>
      <c r="E36" s="5" t="inlineStr">
        <is>
          <t>Inline stream profiler &amp; statistics</t>
        </is>
      </c>
      <c r="F36" s="7" t="inlineStr">
        <is>
          <t>DQ</t>
        </is>
      </c>
      <c r="G36" s="5" t="inlineStr">
        <is>
          <t>Data Quality, Validation &amp; Cleansing</t>
        </is>
      </c>
      <c r="H36" s="9" t="inlineStr">
        <is>
          <t>Partial</t>
        </is>
      </c>
      <c r="I36" s="7" t="inlineStr">
        <is>
          <t>Med</t>
        </is>
      </c>
      <c r="J36" s="5" t="inlineStr"/>
      <c r="K36" s="5" t="inlineStr"/>
      <c r="L36" s="5" t="inlineStr">
        <is>
          <t>DuckDB `SUMMARIZE` stream lowerer</t>
        </is>
      </c>
      <c r="M36" s="5" t="inlineStr">
        <is>
          <t>Computes continuous null rates, min/max, distinct counts</t>
        </is>
      </c>
    </row>
    <row r="37" ht="20" customHeight="1">
      <c r="A37" s="3" t="n">
        <v>36</v>
      </c>
      <c r="B37" s="11" t="inlineStr">
        <is>
          <t>P2</t>
        </is>
      </c>
      <c r="C37" s="5" t="inlineStr">
        <is>
          <t>Phase 3: Quality</t>
        </is>
      </c>
      <c r="D37" s="6" t="inlineStr">
        <is>
          <t>SP-DQ-08</t>
        </is>
      </c>
      <c r="E37" s="5" t="inlineStr">
        <is>
          <t>Fuzzy string (Jaro-Winkler) matcher</t>
        </is>
      </c>
      <c r="F37" s="7" t="inlineStr">
        <is>
          <t>DQ</t>
        </is>
      </c>
      <c r="G37" s="5" t="inlineStr">
        <is>
          <t>Data Quality, Validation &amp; Cleansing</t>
        </is>
      </c>
      <c r="H37" s="8" t="inlineStr">
        <is>
          <t>Planned</t>
        </is>
      </c>
      <c r="I37" s="7" t="inlineStr">
        <is>
          <t>Low</t>
        </is>
      </c>
      <c r="J37" s="5" t="inlineStr"/>
      <c r="K37" s="5" t="inlineStr"/>
      <c r="L37" s="5" t="inlineStr">
        <is>
          <t>DuckDB `jaro_winkler_similarity`</t>
        </is>
      </c>
      <c r="M37" s="5" t="inlineStr">
        <is>
          <t>Entity matching and deduplication for spelling variations</t>
        </is>
      </c>
    </row>
    <row r="38" ht="20" customHeight="1">
      <c r="A38" s="3" t="n">
        <v>37</v>
      </c>
      <c r="B38" s="11" t="inlineStr">
        <is>
          <t>P2</t>
        </is>
      </c>
      <c r="C38" s="5" t="inlineStr">
        <is>
          <t>Phase 3: Quality</t>
        </is>
      </c>
      <c r="D38" s="6" t="inlineStr">
        <is>
          <t>SP-DQ-07</t>
        </is>
      </c>
      <c r="E38" s="5" t="inlineStr">
        <is>
          <t>Cluster &amp; edit value normalizer</t>
        </is>
      </c>
      <c r="F38" s="7" t="inlineStr">
        <is>
          <t>DQ</t>
        </is>
      </c>
      <c r="G38" s="5" t="inlineStr">
        <is>
          <t>Data Quality, Validation &amp; Cleansing</t>
        </is>
      </c>
      <c r="H38" s="8" t="inlineStr">
        <is>
          <t>Planned</t>
        </is>
      </c>
      <c r="I38" s="7" t="inlineStr">
        <is>
          <t>Med</t>
        </is>
      </c>
      <c r="J38" s="5" t="inlineStr"/>
      <c r="K38" s="5" t="inlineStr"/>
      <c r="L38" s="5" t="inlineStr">
        <is>
          <t>Fingerprint &amp; ngram clustering</t>
        </is>
      </c>
      <c r="M38" s="5" t="inlineStr">
        <is>
          <t>OpenRefine-style standardization for messy categorical data</t>
        </is>
      </c>
    </row>
    <row r="39" ht="20" customHeight="1">
      <c r="A39" s="3" t="n">
        <v>38</v>
      </c>
      <c r="B39" s="11" t="inlineStr">
        <is>
          <t>P2</t>
        </is>
      </c>
      <c r="C39" s="5" t="inlineStr">
        <is>
          <t>Phase 3: Quality</t>
        </is>
      </c>
      <c r="D39" s="6" t="inlineStr">
        <is>
          <t>SP-DQ-10</t>
        </is>
      </c>
      <c r="E39" s="5" t="inlineStr">
        <is>
          <t>Statistical &amp; reservoir sampler</t>
        </is>
      </c>
      <c r="F39" s="7" t="inlineStr">
        <is>
          <t>DQ</t>
        </is>
      </c>
      <c r="G39" s="5" t="inlineStr">
        <is>
          <t>Data Quality, Validation &amp; Cleansing</t>
        </is>
      </c>
      <c r="H39" s="8" t="inlineStr">
        <is>
          <t>Planned</t>
        </is>
      </c>
      <c r="I39" s="7" t="inlineStr">
        <is>
          <t>Low</t>
        </is>
      </c>
      <c r="J39" s="5" t="inlineStr"/>
      <c r="K39" s="5" t="inlineStr"/>
      <c r="L39" s="5" t="inlineStr">
        <is>
          <t>DuckDB `USING SAMPLE` lowerer</t>
        </is>
      </c>
      <c r="M39" s="5" t="inlineStr">
        <is>
          <t>Extracts representative samples for testing and ML models</t>
        </is>
      </c>
    </row>
    <row r="40" ht="20" customHeight="1">
      <c r="A40" s="3" t="n">
        <v>39</v>
      </c>
      <c r="B40" s="11" t="inlineStr">
        <is>
          <t>P2</t>
        </is>
      </c>
      <c r="C40" s="5" t="inlineStr">
        <is>
          <t>Phase 3: Quality</t>
        </is>
      </c>
      <c r="D40" s="6" t="inlineStr">
        <is>
          <t>SP-DQ-13</t>
        </is>
      </c>
      <c r="E40" s="5" t="inlineStr">
        <is>
          <t>One-way salted cryptographic hasher</t>
        </is>
      </c>
      <c r="F40" s="7" t="inlineStr">
        <is>
          <t>DQ</t>
        </is>
      </c>
      <c r="G40" s="5" t="inlineStr">
        <is>
          <t>Data Quality, Validation &amp; Cleansing</t>
        </is>
      </c>
      <c r="H40" s="8" t="inlineStr">
        <is>
          <t>Planned</t>
        </is>
      </c>
      <c r="I40" s="7" t="inlineStr">
        <is>
          <t>Low</t>
        </is>
      </c>
      <c r="J40" s="5" t="inlineStr"/>
      <c r="K40" s="5" t="inlineStr"/>
      <c r="L40" s="5" t="inlineStr">
        <is>
          <t>Function catalog `sha256(val, salt)`</t>
        </is>
      </c>
      <c r="M40" s="5" t="inlineStr">
        <is>
          <t>Salted hashing for pseudonymizing identifier columns</t>
        </is>
      </c>
    </row>
    <row r="41" ht="20" customHeight="1">
      <c r="A41" s="3" t="n">
        <v>40</v>
      </c>
      <c r="B41" s="11" t="inlineStr">
        <is>
          <t>P2</t>
        </is>
      </c>
      <c r="C41" s="5" t="inlineStr">
        <is>
          <t>Phase 3: Transforms</t>
        </is>
      </c>
      <c r="D41" s="6" t="inlineStr">
        <is>
          <t>SP-XFM-14</t>
        </is>
      </c>
      <c r="E41" s="5" t="inlineStr">
        <is>
          <t>DML row-action strategy flagger</t>
        </is>
      </c>
      <c r="F41" s="7" t="inlineStr">
        <is>
          <t>XFM</t>
        </is>
      </c>
      <c r="G41" s="5" t="inlineStr">
        <is>
          <t>Transformers &amp; Dimensional Modeling</t>
        </is>
      </c>
      <c r="H41" s="8" t="inlineStr">
        <is>
          <t>Planned</t>
        </is>
      </c>
      <c r="I41" s="7" t="inlineStr">
        <is>
          <t>Med</t>
        </is>
      </c>
      <c r="J41" s="5" t="inlineStr"/>
      <c r="K41" s="5" t="inlineStr"/>
      <c r="L41" s="5" t="inlineStr">
        <is>
          <t>Primary key diff logic (`__op=I/U/D`)</t>
        </is>
      </c>
      <c r="M41" s="5" t="inlineStr">
        <is>
          <t>Flags changes for downstream target upsert/merge sinks</t>
        </is>
      </c>
    </row>
    <row r="42" ht="20" customHeight="1">
      <c r="A42" s="3" t="n">
        <v>41</v>
      </c>
      <c r="B42" s="11" t="inlineStr">
        <is>
          <t>P2</t>
        </is>
      </c>
      <c r="C42" s="5" t="inlineStr">
        <is>
          <t>Phase 3: Transforms</t>
        </is>
      </c>
      <c r="D42" s="6" t="inlineStr">
        <is>
          <t>SP-XFM-15</t>
        </is>
      </c>
      <c r="E42" s="5" t="inlineStr">
        <is>
          <t>Dataset differ &amp; change compare</t>
        </is>
      </c>
      <c r="F42" s="7" t="inlineStr">
        <is>
          <t>XFM</t>
        </is>
      </c>
      <c r="G42" s="5" t="inlineStr">
        <is>
          <t>Transformers &amp; Dimensional Modeling</t>
        </is>
      </c>
      <c r="H42" s="9" t="inlineStr">
        <is>
          <t>Partial</t>
        </is>
      </c>
      <c r="I42" s="7" t="inlineStr">
        <is>
          <t>Med</t>
        </is>
      </c>
      <c r="J42" s="5" t="inlineStr"/>
      <c r="K42" s="5" t="inlineStr"/>
      <c r="L42" s="5" t="inlineStr">
        <is>
          <t>Wrap `recon.run` into transform step</t>
        </is>
      </c>
      <c r="M42" s="5" t="inlineStr">
        <is>
          <t>Emits diff delta records between two dataset snapshots</t>
        </is>
      </c>
    </row>
    <row r="43" ht="20" customHeight="1">
      <c r="A43" s="3" t="n">
        <v>42</v>
      </c>
      <c r="B43" s="11" t="inlineStr">
        <is>
          <t>P2</t>
        </is>
      </c>
      <c r="C43" s="5" t="inlineStr">
        <is>
          <t>Phase 3: Analytics</t>
        </is>
      </c>
      <c r="D43" s="6" t="inlineStr">
        <is>
          <t>SP-BI-03</t>
        </is>
      </c>
      <c r="E43" s="5" t="inlineStr">
        <is>
          <t>Time-grain resampler &amp; gap imputer</t>
        </is>
      </c>
      <c r="F43" s="7" t="inlineStr">
        <is>
          <t>BI</t>
        </is>
      </c>
      <c r="G43" s="5" t="inlineStr">
        <is>
          <t>Analytics, Time-Series &amp; Semantic Modeling</t>
        </is>
      </c>
      <c r="H43" s="9" t="inlineStr">
        <is>
          <t>Partial</t>
        </is>
      </c>
      <c r="I43" s="7" t="inlineStr">
        <is>
          <t>Med</t>
        </is>
      </c>
      <c r="J43" s="5" t="inlineStr"/>
      <c r="K43" s="5" t="inlineStr"/>
      <c r="L43" s="5" t="inlineStr">
        <is>
          <t>DuckDB `time_bucket()` + series filler</t>
        </is>
      </c>
      <c r="M43" s="5" t="inlineStr">
        <is>
          <t>Normalizes irregular timeseries and imputes missing gaps</t>
        </is>
      </c>
    </row>
    <row r="44" ht="20" customHeight="1">
      <c r="A44" s="3" t="n">
        <v>43</v>
      </c>
      <c r="B44" s="11" t="inlineStr">
        <is>
          <t>P2</t>
        </is>
      </c>
      <c r="C44" s="5" t="inlineStr">
        <is>
          <t>Phase 3: Analytics</t>
        </is>
      </c>
      <c r="D44" s="6" t="inlineStr">
        <is>
          <t>SP-BI-04</t>
        </is>
      </c>
      <c r="E44" s="5" t="inlineStr">
        <is>
          <t>Period-over-period shift</t>
        </is>
      </c>
      <c r="F44" s="7" t="inlineStr">
        <is>
          <t>BI</t>
        </is>
      </c>
      <c r="G44" s="5" t="inlineStr">
        <is>
          <t>Analytics, Time-Series &amp; Semantic Modeling</t>
        </is>
      </c>
      <c r="H44" s="8" t="inlineStr">
        <is>
          <t>Planned</t>
        </is>
      </c>
      <c r="I44" s="7" t="inlineStr">
        <is>
          <t>Low</t>
        </is>
      </c>
      <c r="J44" s="5" t="inlineStr"/>
      <c r="K44" s="5" t="inlineStr"/>
      <c r="L44" s="5" t="inlineStr">
        <is>
          <t>DuckDB `LAG() OVER (ORDER BY ts)`</t>
        </is>
      </c>
      <c r="M44" s="5" t="inlineStr">
        <is>
          <t>Calculates YoY, MoM, WoW trends and growth rates</t>
        </is>
      </c>
    </row>
    <row r="45" ht="20" customHeight="1">
      <c r="A45" s="3" t="n">
        <v>44</v>
      </c>
      <c r="B45" s="11" t="inlineStr">
        <is>
          <t>P2</t>
        </is>
      </c>
      <c r="C45" s="5" t="inlineStr">
        <is>
          <t>Phase 3: Analytics</t>
        </is>
      </c>
      <c r="D45" s="6" t="inlineStr">
        <is>
          <t>SP-BI-05</t>
        </is>
      </c>
      <c r="E45" s="5" t="inlineStr">
        <is>
          <t>Running calculations &amp; moving avg</t>
        </is>
      </c>
      <c r="F45" s="7" t="inlineStr">
        <is>
          <t>BI</t>
        </is>
      </c>
      <c r="G45" s="5" t="inlineStr">
        <is>
          <t>Analytics, Time-Series &amp; Semantic Modeling</t>
        </is>
      </c>
      <c r="H45" s="8" t="inlineStr">
        <is>
          <t>Planned</t>
        </is>
      </c>
      <c r="I45" s="7" t="inlineStr">
        <is>
          <t>Low</t>
        </is>
      </c>
      <c r="J45" s="5" t="inlineStr"/>
      <c r="K45" s="5" t="inlineStr"/>
      <c r="L45" s="5" t="inlineStr">
        <is>
          <t>Window frame presets (`AVG() OVER`)</t>
        </is>
      </c>
      <c r="M45" s="5" t="inlineStr">
        <is>
          <t>Computes rolling 7-day, 30-day averages and cumulative totals</t>
        </is>
      </c>
    </row>
    <row r="46" ht="20" customHeight="1">
      <c r="A46" s="3" t="n">
        <v>45</v>
      </c>
      <c r="B46" s="11" t="inlineStr">
        <is>
          <t>P2</t>
        </is>
      </c>
      <c r="C46" s="5" t="inlineStr">
        <is>
          <t>Phase 3: Analytics</t>
        </is>
      </c>
      <c r="D46" s="6" t="inlineStr">
        <is>
          <t>SP-BI-07</t>
        </is>
      </c>
      <c r="E46" s="5" t="inlineStr">
        <is>
          <t>Semantic KPI calculator &amp; metrics</t>
        </is>
      </c>
      <c r="F46" s="7" t="inlineStr">
        <is>
          <t>BI</t>
        </is>
      </c>
      <c r="G46" s="5" t="inlineStr">
        <is>
          <t>Analytics, Time-Series &amp; Semantic Modeling</t>
        </is>
      </c>
      <c r="H46" s="9" t="inlineStr">
        <is>
          <t>Partial</t>
        </is>
      </c>
      <c r="I46" s="7" t="inlineStr">
        <is>
          <t>Med</t>
        </is>
      </c>
      <c r="J46" s="5" t="inlineStr"/>
      <c r="K46" s="5" t="inlineStr"/>
      <c r="L46" s="5" t="inlineStr">
        <is>
          <t>Reusable KPI schema repository</t>
        </is>
      </c>
      <c r="M46" s="5" t="inlineStr">
        <is>
          <t>Centralized business metric catalog reused across pipelines</t>
        </is>
      </c>
    </row>
    <row r="47" ht="20" customHeight="1">
      <c r="A47" s="3" t="n">
        <v>46</v>
      </c>
      <c r="B47" s="11" t="inlineStr">
        <is>
          <t>P2</t>
        </is>
      </c>
      <c r="C47" s="5" t="inlineStr">
        <is>
          <t>Phase 3: Analytics</t>
        </is>
      </c>
      <c r="D47" s="6" t="inlineStr">
        <is>
          <t>SP-BI-08</t>
        </is>
      </c>
      <c r="E47" s="5" t="inlineStr">
        <is>
          <t>Template &amp; runtime param injector</t>
        </is>
      </c>
      <c r="F47" s="7" t="inlineStr">
        <is>
          <t>BI</t>
        </is>
      </c>
      <c r="G47" s="5" t="inlineStr">
        <is>
          <t>Analytics, Time-Series &amp; Semantic Modeling</t>
        </is>
      </c>
      <c r="H47" s="9" t="inlineStr">
        <is>
          <t>Partial</t>
        </is>
      </c>
      <c r="I47" s="7" t="inlineStr">
        <is>
          <t>Med</t>
        </is>
      </c>
      <c r="J47" s="5" t="inlineStr"/>
      <c r="K47" s="5" t="inlineStr"/>
      <c r="L47" s="5" t="inlineStr">
        <is>
          <t>Jtwig / Pebble Jinja templating</t>
        </is>
      </c>
      <c r="M47" s="5" t="inlineStr">
        <is>
          <t>Dynamic query templating with conditionals and loops</t>
        </is>
      </c>
    </row>
    <row r="48" ht="20" customHeight="1">
      <c r="A48" s="3" t="n">
        <v>47</v>
      </c>
      <c r="B48" s="11" t="inlineStr">
        <is>
          <t>P2</t>
        </is>
      </c>
      <c r="C48" s="5" t="inlineStr">
        <is>
          <t>Phase 3: Analytics</t>
        </is>
      </c>
      <c r="D48" s="6" t="inlineStr">
        <is>
          <t>SP-BI-09</t>
        </is>
      </c>
      <c r="E48" s="5" t="inlineStr">
        <is>
          <t>Histogram &amp; quantile binner</t>
        </is>
      </c>
      <c r="F48" s="7" t="inlineStr">
        <is>
          <t>BI</t>
        </is>
      </c>
      <c r="G48" s="5" t="inlineStr">
        <is>
          <t>Analytics, Time-Series &amp; Semantic Modeling</t>
        </is>
      </c>
      <c r="H48" s="8" t="inlineStr">
        <is>
          <t>Planned</t>
        </is>
      </c>
      <c r="I48" s="7" t="inlineStr">
        <is>
          <t>Low</t>
        </is>
      </c>
      <c r="J48" s="5" t="inlineStr"/>
      <c r="K48" s="5" t="inlineStr"/>
      <c r="L48" s="5" t="inlineStr">
        <is>
          <t>DuckDB `WIDTH_BUCKET()` / `NTILE()`</t>
        </is>
      </c>
      <c r="M48" s="5" t="inlineStr">
        <is>
          <t>Segments continuous figures into buckets/deciles</t>
        </is>
      </c>
    </row>
    <row r="49" ht="20" customHeight="1">
      <c r="A49" s="3" t="n">
        <v>48</v>
      </c>
      <c r="B49" s="11" t="inlineStr">
        <is>
          <t>P2</t>
        </is>
      </c>
      <c r="C49" s="5" t="inlineStr">
        <is>
          <t>Phase 3: Geospatial</t>
        </is>
      </c>
      <c r="D49" s="6" t="inlineStr">
        <is>
          <t>SP-BI-11</t>
        </is>
      </c>
      <c r="E49" s="5" t="inlineStr">
        <is>
          <t>H3 hexagonal grid indexer</t>
        </is>
      </c>
      <c r="F49" s="7" t="inlineStr">
        <is>
          <t>BI</t>
        </is>
      </c>
      <c r="G49" s="5" t="inlineStr">
        <is>
          <t>Analytics, Time-Series &amp; Semantic Modeling</t>
        </is>
      </c>
      <c r="H49" s="8" t="inlineStr">
        <is>
          <t>Planned</t>
        </is>
      </c>
      <c r="I49" s="7" t="inlineStr">
        <is>
          <t>Med</t>
        </is>
      </c>
      <c r="J49" s="5" t="inlineStr"/>
      <c r="K49" s="5" t="inlineStr"/>
      <c r="L49" s="5" t="inlineStr">
        <is>
          <t>DuckDB `h3` native extension</t>
        </is>
      </c>
      <c r="M49" s="5" t="inlineStr">
        <is>
          <t>Geospatial spatial indexing for rideshare, IoT, logistics</t>
        </is>
      </c>
    </row>
    <row r="50" ht="20" customHeight="1">
      <c r="A50" s="3" t="n">
        <v>49</v>
      </c>
      <c r="B50" s="11" t="inlineStr">
        <is>
          <t>P2</t>
        </is>
      </c>
      <c r="C50" s="5" t="inlineStr">
        <is>
          <t>Phase 3: Geospatial</t>
        </is>
      </c>
      <c r="D50" s="6" t="inlineStr">
        <is>
          <t>SP-BI-12</t>
        </is>
      </c>
      <c r="E50" s="5" t="inlineStr">
        <is>
          <t>Spatial polygon &amp; point intersect</t>
        </is>
      </c>
      <c r="F50" s="7" t="inlineStr">
        <is>
          <t>BI</t>
        </is>
      </c>
      <c r="G50" s="5" t="inlineStr">
        <is>
          <t>Analytics, Time-Series &amp; Semantic Modeling</t>
        </is>
      </c>
      <c r="H50" s="8" t="inlineStr">
        <is>
          <t>Planned</t>
        </is>
      </c>
      <c r="I50" s="7" t="inlineStr">
        <is>
          <t>Med</t>
        </is>
      </c>
      <c r="J50" s="5" t="inlineStr"/>
      <c r="K50" s="5" t="inlineStr"/>
      <c r="L50" s="5" t="inlineStr">
        <is>
          <t>DuckDB `spatial` native extension</t>
        </is>
      </c>
      <c r="M50" s="5" t="inlineStr">
        <is>
          <t>Boundary geofencing and spatial point-in-polygon joins</t>
        </is>
      </c>
    </row>
    <row r="51" ht="20" customHeight="1">
      <c r="A51" s="3" t="n">
        <v>50</v>
      </c>
      <c r="B51" s="11" t="inlineStr">
        <is>
          <t>P2</t>
        </is>
      </c>
      <c r="C51" s="5" t="inlineStr">
        <is>
          <t>Phase 3: Enrichment</t>
        </is>
      </c>
      <c r="D51" s="6" t="inlineStr">
        <is>
          <t>SP-ENR-02</t>
        </is>
      </c>
      <c r="E51" s="5" t="inlineStr">
        <is>
          <t>GeoIP &amp; ISP geolocation enricher</t>
        </is>
      </c>
      <c r="F51" s="7" t="inlineStr">
        <is>
          <t>ENR</t>
        </is>
      </c>
      <c r="G51" s="5" t="inlineStr">
        <is>
          <t>Enrichment, Entity Resolution &amp; AI/ML</t>
        </is>
      </c>
      <c r="H51" s="8" t="inlineStr">
        <is>
          <t>Planned</t>
        </is>
      </c>
      <c r="I51" s="7" t="inlineStr">
        <is>
          <t>Low</t>
        </is>
      </c>
      <c r="J51" s="5" t="inlineStr"/>
      <c r="K51" s="5" t="inlineStr"/>
      <c r="L51" s="5" t="inlineStr">
        <is>
          <t>MaxMind GeoIP2 Java reader</t>
        </is>
      </c>
      <c r="M51" s="5" t="inlineStr">
        <is>
          <t>Translates client IP addresses to geographic coordinates</t>
        </is>
      </c>
    </row>
    <row r="52" ht="20" customHeight="1">
      <c r="A52" s="3" t="n">
        <v>51</v>
      </c>
      <c r="B52" s="11" t="inlineStr">
        <is>
          <t>P2</t>
        </is>
      </c>
      <c r="C52" s="5" t="inlineStr">
        <is>
          <t>Phase 3: Governance</t>
        </is>
      </c>
      <c r="D52" s="6" t="inlineStr">
        <is>
          <t>SP-CTL-08</t>
        </is>
      </c>
      <c r="E52" s="5" t="inlineStr">
        <is>
          <t>SLA timeout &amp; heartbeat monitor</t>
        </is>
      </c>
      <c r="F52" s="7" t="inlineStr">
        <is>
          <t>CTL</t>
        </is>
      </c>
      <c r="G52" s="5" t="inlineStr">
        <is>
          <t>Control, Governance &amp; Sequence Integrity</t>
        </is>
      </c>
      <c r="H52" s="9" t="inlineStr">
        <is>
          <t>Partial</t>
        </is>
      </c>
      <c r="I52" s="7" t="inlineStr">
        <is>
          <t>Med</t>
        </is>
      </c>
      <c r="J52" s="5" t="inlineStr"/>
      <c r="K52" s="5" t="inlineStr"/>
      <c r="L52" s="5" t="inlineStr">
        <is>
          <t>SLA declarative contract checker</t>
        </is>
      </c>
      <c r="M52" s="5" t="inlineStr">
        <is>
          <t>Raises alarms when upstream data feeds miss delivery SLAs</t>
        </is>
      </c>
    </row>
    <row r="53" ht="20" customHeight="1">
      <c r="A53" s="3" t="n">
        <v>52</v>
      </c>
      <c r="B53" s="11" t="inlineStr">
        <is>
          <t>P2</t>
        </is>
      </c>
      <c r="C53" s="5" t="inlineStr">
        <is>
          <t>Phase 3: Destinations</t>
        </is>
      </c>
      <c r="D53" s="6" t="inlineStr">
        <is>
          <t>SP-SNK-09</t>
        </is>
      </c>
      <c r="E53" s="5" t="inlineStr">
        <is>
          <t>ClickHouse / StarRocks analytical sink</t>
        </is>
      </c>
      <c r="F53" s="7" t="inlineStr">
        <is>
          <t>SNK</t>
        </is>
      </c>
      <c r="G53" s="5" t="inlineStr">
        <is>
          <t>Sinks, Storage &amp; Destinations</t>
        </is>
      </c>
      <c r="H53" s="8" t="inlineStr">
        <is>
          <t>Planned</t>
        </is>
      </c>
      <c r="I53" s="7" t="inlineStr">
        <is>
          <t>Med</t>
        </is>
      </c>
      <c r="J53" s="5" t="inlineStr"/>
      <c r="K53" s="5" t="inlineStr"/>
      <c r="L53" s="5" t="inlineStr">
        <is>
          <t>ClickHouse HTTP / JDBC bulk writer</t>
        </is>
      </c>
      <c r="M53" s="5" t="inlineStr">
        <is>
          <t>High-throughput delivery into real-time OLAP databases</t>
        </is>
      </c>
    </row>
    <row r="54" ht="20" customHeight="1">
      <c r="A54" s="3" t="n">
        <v>53</v>
      </c>
      <c r="B54" s="11" t="inlineStr">
        <is>
          <t>P2</t>
        </is>
      </c>
      <c r="C54" s="5" t="inlineStr">
        <is>
          <t>Phase 3: Destinations</t>
        </is>
      </c>
      <c r="D54" s="6" t="inlineStr">
        <is>
          <t>SP-SNK-10</t>
        </is>
      </c>
      <c r="E54" s="5" t="inlineStr">
        <is>
          <t>Excel multi-tab report sink</t>
        </is>
      </c>
      <c r="F54" s="7" t="inlineStr">
        <is>
          <t>SNK</t>
        </is>
      </c>
      <c r="G54" s="5" t="inlineStr">
        <is>
          <t>Sinks, Storage &amp; Destinations</t>
        </is>
      </c>
      <c r="H54" s="8" t="inlineStr">
        <is>
          <t>Planned</t>
        </is>
      </c>
      <c r="I54" s="7" t="inlineStr">
        <is>
          <t>Med</t>
        </is>
      </c>
      <c r="J54" s="5" t="inlineStr"/>
      <c r="K54" s="5" t="inlineStr"/>
      <c r="L54" s="5" t="inlineStr">
        <is>
          <t>FastExcel / POI workbook builder</t>
        </is>
      </c>
      <c r="M54" s="5" t="inlineStr">
        <is>
          <t>Generates business-ready Excel sheets with totals</t>
        </is>
      </c>
    </row>
    <row r="55" ht="20" customHeight="1">
      <c r="A55" s="3" t="n">
        <v>54</v>
      </c>
      <c r="B55" s="11" t="inlineStr">
        <is>
          <t>P2</t>
        </is>
      </c>
      <c r="C55" s="5" t="inlineStr">
        <is>
          <t>Phase 3: Streaming</t>
        </is>
      </c>
      <c r="D55" s="6" t="inlineStr">
        <is>
          <t>SP-ACQ-14</t>
        </is>
      </c>
      <c r="E55" s="5" t="inlineStr">
        <is>
          <t>Change Data Capture (Debezium)</t>
        </is>
      </c>
      <c r="F55" s="7" t="inlineStr">
        <is>
          <t>ACQ</t>
        </is>
      </c>
      <c r="G55" s="5" t="inlineStr">
        <is>
          <t>Collectors &amp; Ingestion</t>
        </is>
      </c>
      <c r="H55" s="8" t="inlineStr">
        <is>
          <t>Planned</t>
        </is>
      </c>
      <c r="I55" s="7" t="inlineStr">
        <is>
          <t>High</t>
        </is>
      </c>
      <c r="J55" s="5" t="inlineStr"/>
      <c r="K55" s="5" t="inlineStr"/>
      <c r="L55" s="5" t="inlineStr">
        <is>
          <t>Debezium message envelope parser</t>
        </is>
      </c>
      <c r="M55" s="5" t="inlineStr">
        <is>
          <t>Ingests database changelogs for real-time replication</t>
        </is>
      </c>
    </row>
    <row r="56" ht="20" customHeight="1">
      <c r="A56" s="3" t="n">
        <v>55</v>
      </c>
      <c r="B56" s="12" t="inlineStr">
        <is>
          <t>P3</t>
        </is>
      </c>
      <c r="C56" s="5" t="inlineStr">
        <is>
          <t>Phase 4: Specialized</t>
        </is>
      </c>
      <c r="D56" s="6" t="inlineStr">
        <is>
          <t>SP-ACQ-12</t>
        </is>
      </c>
      <c r="E56" s="5" t="inlineStr">
        <is>
          <t>RabbitMQ AMQP subscriber</t>
        </is>
      </c>
      <c r="F56" s="7" t="inlineStr">
        <is>
          <t>ACQ</t>
        </is>
      </c>
      <c r="G56" s="5" t="inlineStr">
        <is>
          <t>Collectors &amp; Ingestion</t>
        </is>
      </c>
      <c r="H56" s="8" t="inlineStr">
        <is>
          <t>Planned</t>
        </is>
      </c>
      <c r="I56" s="7" t="inlineStr">
        <is>
          <t>Med</t>
        </is>
      </c>
      <c r="J56" s="5" t="inlineStr"/>
      <c r="K56" s="5" t="inlineStr"/>
      <c r="L56" s="5" t="inlineStr">
        <is>
          <t>RabbitMQ client, acknowledgment queue</t>
        </is>
      </c>
      <c r="M56" s="5" t="inlineStr">
        <is>
          <t>Ingests messages from enterprise RabbitMQ clusters</t>
        </is>
      </c>
    </row>
    <row r="57" ht="20" customHeight="1">
      <c r="A57" s="3" t="n">
        <v>56</v>
      </c>
      <c r="B57" s="12" t="inlineStr">
        <is>
          <t>P3</t>
        </is>
      </c>
      <c r="C57" s="5" t="inlineStr">
        <is>
          <t>Phase 4: Specialized</t>
        </is>
      </c>
      <c r="D57" s="6" t="inlineStr">
        <is>
          <t>SP-ACQ-11</t>
        </is>
      </c>
      <c r="E57" s="5" t="inlineStr">
        <is>
          <t>AWS Kinesis / SQS ingest</t>
        </is>
      </c>
      <c r="F57" s="7" t="inlineStr">
        <is>
          <t>ACQ</t>
        </is>
      </c>
      <c r="G57" s="5" t="inlineStr">
        <is>
          <t>Collectors &amp; Ingestion</t>
        </is>
      </c>
      <c r="H57" s="8" t="inlineStr">
        <is>
          <t>Planned</t>
        </is>
      </c>
      <c r="I57" s="7" t="inlineStr">
        <is>
          <t>Med</t>
        </is>
      </c>
      <c r="J57" s="5" t="inlineStr"/>
      <c r="K57" s="5" t="inlineStr"/>
      <c r="L57" s="5" t="inlineStr">
        <is>
          <t>Kinesis Client Library (KCL)</t>
        </is>
      </c>
      <c r="M57" s="5" t="inlineStr">
        <is>
          <t>Direct ingestion from AWS managed event streams</t>
        </is>
      </c>
    </row>
    <row r="58" ht="20" customHeight="1">
      <c r="A58" s="3" t="n">
        <v>57</v>
      </c>
      <c r="B58" s="12" t="inlineStr">
        <is>
          <t>P3</t>
        </is>
      </c>
      <c r="C58" s="5" t="inlineStr">
        <is>
          <t>Phase 4: Specialized</t>
        </is>
      </c>
      <c r="D58" s="6" t="inlineStr">
        <is>
          <t>SP-ACQ-10</t>
        </is>
      </c>
      <c r="E58" s="5" t="inlineStr">
        <is>
          <t>Apache Pulsar consumer</t>
        </is>
      </c>
      <c r="F58" s="7" t="inlineStr">
        <is>
          <t>ACQ</t>
        </is>
      </c>
      <c r="G58" s="5" t="inlineStr">
        <is>
          <t>Collectors &amp; Ingestion</t>
        </is>
      </c>
      <c r="H58" s="8" t="inlineStr">
        <is>
          <t>Planned</t>
        </is>
      </c>
      <c r="I58" s="7" t="inlineStr">
        <is>
          <t>Med</t>
        </is>
      </c>
      <c r="J58" s="5" t="inlineStr"/>
      <c r="K58" s="5" t="inlineStr"/>
      <c r="L58" s="5" t="inlineStr">
        <is>
          <t>Apache Pulsar client</t>
        </is>
      </c>
      <c r="M58" s="5" t="inlineStr">
        <is>
          <t>Enterprise multi-tenant streaming message consumption</t>
        </is>
      </c>
    </row>
    <row r="59" ht="20" customHeight="1">
      <c r="A59" s="3" t="n">
        <v>58</v>
      </c>
      <c r="B59" s="12" t="inlineStr">
        <is>
          <t>P3</t>
        </is>
      </c>
      <c r="C59" s="5" t="inlineStr">
        <is>
          <t>Phase 4: Specialized</t>
        </is>
      </c>
      <c r="D59" s="6" t="inlineStr">
        <is>
          <t>SP-ACQ-13</t>
        </is>
      </c>
      <c r="E59" s="5" t="inlineStr">
        <is>
          <t>MQTT IoT telemetry ingest</t>
        </is>
      </c>
      <c r="F59" s="7" t="inlineStr">
        <is>
          <t>ACQ</t>
        </is>
      </c>
      <c r="G59" s="5" t="inlineStr">
        <is>
          <t>Collectors &amp; Ingestion</t>
        </is>
      </c>
      <c r="H59" s="8" t="inlineStr">
        <is>
          <t>Planned</t>
        </is>
      </c>
      <c r="I59" s="7" t="inlineStr">
        <is>
          <t>Med</t>
        </is>
      </c>
      <c r="J59" s="5" t="inlineStr"/>
      <c r="K59" s="5" t="inlineStr"/>
      <c r="L59" s="5" t="inlineStr">
        <is>
          <t>Eclipse Paho MQTT client</t>
        </is>
      </c>
      <c r="M59" s="5" t="inlineStr">
        <is>
          <t>Lightweight sensor and edge device telemetry intake</t>
        </is>
      </c>
    </row>
    <row r="60" ht="20" customHeight="1">
      <c r="A60" s="3" t="n">
        <v>59</v>
      </c>
      <c r="B60" s="12" t="inlineStr">
        <is>
          <t>P3</t>
        </is>
      </c>
      <c r="C60" s="5" t="inlineStr">
        <is>
          <t>Phase 4: Specialized</t>
        </is>
      </c>
      <c r="D60" s="6" t="inlineStr">
        <is>
          <t>SP-ACQ-20</t>
        </is>
      </c>
      <c r="E60" s="5" t="inlineStr">
        <is>
          <t>gRPC stream receiver</t>
        </is>
      </c>
      <c r="F60" s="7" t="inlineStr">
        <is>
          <t>ACQ</t>
        </is>
      </c>
      <c r="G60" s="5" t="inlineStr">
        <is>
          <t>Collectors &amp; Ingestion</t>
        </is>
      </c>
      <c r="H60" s="8" t="inlineStr">
        <is>
          <t>Planned</t>
        </is>
      </c>
      <c r="I60" s="7" t="inlineStr">
        <is>
          <t>High</t>
        </is>
      </c>
      <c r="J60" s="5" t="inlineStr"/>
      <c r="K60" s="5" t="inlineStr"/>
      <c r="L60" s="5" t="inlineStr">
        <is>
          <t>Netty gRPC server service handler</t>
        </is>
      </c>
      <c r="M60" s="5" t="inlineStr">
        <is>
          <t>Ultra-high performance streaming binary RPC ingestion</t>
        </is>
      </c>
    </row>
    <row r="61" ht="20" customHeight="1">
      <c r="A61" s="3" t="n">
        <v>60</v>
      </c>
      <c r="B61" s="12" t="inlineStr">
        <is>
          <t>P3</t>
        </is>
      </c>
      <c r="C61" s="5" t="inlineStr">
        <is>
          <t>Phase 4: Telecom/Niche</t>
        </is>
      </c>
      <c r="D61" s="6" t="inlineStr">
        <is>
          <t>SP-PRS-11</t>
        </is>
      </c>
      <c r="E61" s="5" t="inlineStr">
        <is>
          <t>ASN.1 PER / XER / DER decoder</t>
        </is>
      </c>
      <c r="F61" s="7" t="inlineStr">
        <is>
          <t>PRS</t>
        </is>
      </c>
      <c r="G61" s="5" t="inlineStr">
        <is>
          <t>Extraction &amp; Format Parsers</t>
        </is>
      </c>
      <c r="H61" s="8" t="inlineStr">
        <is>
          <t>Planned</t>
        </is>
      </c>
      <c r="I61" s="7" t="inlineStr">
        <is>
          <t>High</t>
        </is>
      </c>
      <c r="J61" s="5" t="inlineStr"/>
      <c r="K61" s="5" t="inlineStr"/>
      <c r="L61" s="5" t="inlineStr">
        <is>
          <t>`asn-parser` PER bytecode engine</t>
        </is>
      </c>
      <c r="M61" s="5" t="inlineStr">
        <is>
          <t>Specialized telecom network protocol decoding</t>
        </is>
      </c>
    </row>
    <row r="62" ht="20" customHeight="1">
      <c r="A62" s="3" t="n">
        <v>61</v>
      </c>
      <c r="B62" s="12" t="inlineStr">
        <is>
          <t>P3</t>
        </is>
      </c>
      <c r="C62" s="5" t="inlineStr">
        <is>
          <t>Phase 4: Legacy</t>
        </is>
      </c>
      <c r="D62" s="6" t="inlineStr">
        <is>
          <t>SP-PRS-12</t>
        </is>
      </c>
      <c r="E62" s="5" t="inlineStr">
        <is>
          <t>Mainframe EBCDIC &amp; COBOL copybook</t>
        </is>
      </c>
      <c r="F62" s="7" t="inlineStr">
        <is>
          <t>PRS</t>
        </is>
      </c>
      <c r="G62" s="5" t="inlineStr">
        <is>
          <t>Extraction &amp; Format Parsers</t>
        </is>
      </c>
      <c r="H62" s="8" t="inlineStr">
        <is>
          <t>Planned</t>
        </is>
      </c>
      <c r="I62" s="7" t="inlineStr">
        <is>
          <t>High</t>
        </is>
      </c>
      <c r="J62" s="5" t="inlineStr"/>
      <c r="K62" s="5" t="inlineStr"/>
      <c r="L62" s="5" t="inlineStr">
        <is>
          <t>`JRecord` COBOL copybook parser</t>
        </is>
      </c>
      <c r="M62" s="5" t="inlineStr">
        <is>
          <t>Decodes legacy banking and insurance mainframe files</t>
        </is>
      </c>
    </row>
    <row r="63" ht="20" customHeight="1">
      <c r="A63" s="3" t="n">
        <v>62</v>
      </c>
      <c r="B63" s="12" t="inlineStr">
        <is>
          <t>P3</t>
        </is>
      </c>
      <c r="C63" s="5" t="inlineStr">
        <is>
          <t>Phase 4: Cybersecurity</t>
        </is>
      </c>
      <c r="D63" s="6" t="inlineStr">
        <is>
          <t>SP-PRS-15</t>
        </is>
      </c>
      <c r="E63" s="5" t="inlineStr">
        <is>
          <t>PCAP network packet slicer</t>
        </is>
      </c>
      <c r="F63" s="7" t="inlineStr">
        <is>
          <t>PRS</t>
        </is>
      </c>
      <c r="G63" s="5" t="inlineStr">
        <is>
          <t>Extraction &amp; Format Parsers</t>
        </is>
      </c>
      <c r="H63" s="8" t="inlineStr">
        <is>
          <t>Planned</t>
        </is>
      </c>
      <c r="I63" s="7" t="inlineStr">
        <is>
          <t>High</t>
        </is>
      </c>
      <c r="J63" s="5" t="inlineStr"/>
      <c r="K63" s="5" t="inlineStr"/>
      <c r="L63" s="5" t="inlineStr">
        <is>
          <t>Java NIO PCAP packet dissector</t>
        </is>
      </c>
      <c r="M63" s="5" t="inlineStr">
        <is>
          <t>Packet inspection and network cybersecurity analysis</t>
        </is>
      </c>
    </row>
    <row r="64" ht="20" customHeight="1">
      <c r="A64" s="3" t="n">
        <v>63</v>
      </c>
      <c r="B64" s="12" t="inlineStr">
        <is>
          <t>P3</t>
        </is>
      </c>
      <c r="C64" s="5" t="inlineStr">
        <is>
          <t>Phase 4: Legacy</t>
        </is>
      </c>
      <c r="D64" s="6" t="inlineStr">
        <is>
          <t>SP-DQ-11</t>
        </is>
      </c>
      <c r="E64" s="5" t="inlineStr">
        <is>
          <t>Character map &amp; code page transcoder</t>
        </is>
      </c>
      <c r="F64" s="7" t="inlineStr">
        <is>
          <t>DQ</t>
        </is>
      </c>
      <c r="G64" s="5" t="inlineStr">
        <is>
          <t>Data Quality, Validation &amp; Cleansing</t>
        </is>
      </c>
      <c r="H64" s="8" t="inlineStr">
        <is>
          <t>Planned</t>
        </is>
      </c>
      <c r="I64" s="7" t="inlineStr">
        <is>
          <t>Low</t>
        </is>
      </c>
      <c r="J64" s="5" t="inlineStr"/>
      <c r="K64" s="5" t="inlineStr"/>
      <c r="L64" s="5" t="inlineStr">
        <is>
          <t>Java `Charset` transcoding stream</t>
        </is>
      </c>
      <c r="M64" s="5" t="inlineStr">
        <is>
          <t>Handles legacy character sets (Shift-JIS, Windows-1252)</t>
        </is>
      </c>
    </row>
    <row r="65" ht="20" customHeight="1">
      <c r="A65" s="3" t="n">
        <v>64</v>
      </c>
      <c r="B65" s="12" t="inlineStr">
        <is>
          <t>P3</t>
        </is>
      </c>
      <c r="C65" s="5" t="inlineStr">
        <is>
          <t>Phase 4: Optimization</t>
        </is>
      </c>
      <c r="D65" s="6" t="inlineStr">
        <is>
          <t>SP-XFM-11</t>
        </is>
      </c>
      <c r="E65" s="5" t="inlineStr">
        <is>
          <t>Presorted stream merge joiner</t>
        </is>
      </c>
      <c r="F65" s="7" t="inlineStr">
        <is>
          <t>XFM</t>
        </is>
      </c>
      <c r="G65" s="5" t="inlineStr">
        <is>
          <t>Transformers &amp; Dimensional Modeling</t>
        </is>
      </c>
      <c r="H65" s="8" t="inlineStr">
        <is>
          <t>Planned</t>
        </is>
      </c>
      <c r="I65" s="7" t="inlineStr">
        <is>
          <t>Med</t>
        </is>
      </c>
      <c r="J65" s="5" t="inlineStr"/>
      <c r="K65" s="5" t="inlineStr"/>
      <c r="L65" s="5" t="inlineStr">
        <is>
          <t>Two-way sorted stream iterator</t>
        </is>
      </c>
      <c r="M65" s="5" t="inlineStr">
        <is>
          <t>Low-memory joins over pre-ordered multi-terabyte feeds</t>
        </is>
      </c>
    </row>
    <row r="66" ht="20" customHeight="1">
      <c r="A66" s="3" t="n">
        <v>65</v>
      </c>
      <c r="B66" s="12" t="inlineStr">
        <is>
          <t>P3</t>
        </is>
      </c>
      <c r="C66" s="5" t="inlineStr">
        <is>
          <t>Phase 4: Export</t>
        </is>
      </c>
      <c r="D66" s="6" t="inlineStr">
        <is>
          <t>SP-XFM-16</t>
        </is>
      </c>
      <c r="E66" s="5" t="inlineStr">
        <is>
          <t>Hierarchical XML / JSON builder</t>
        </is>
      </c>
      <c r="F66" s="7" t="inlineStr">
        <is>
          <t>XFM</t>
        </is>
      </c>
      <c r="G66" s="5" t="inlineStr">
        <is>
          <t>Transformers &amp; Dimensional Modeling</t>
        </is>
      </c>
      <c r="H66" s="8" t="inlineStr">
        <is>
          <t>Planned</t>
        </is>
      </c>
      <c r="I66" s="7" t="inlineStr">
        <is>
          <t>Med</t>
        </is>
      </c>
      <c r="J66" s="5" t="inlineStr"/>
      <c r="K66" s="5" t="inlineStr"/>
      <c r="L66" s="5" t="inlineStr">
        <is>
          <t>StAX XML / Jackson struct serializer</t>
        </is>
      </c>
      <c r="M66" s="5" t="inlineStr">
        <is>
          <t>Assembles relational rows into nested documents</t>
        </is>
      </c>
    </row>
    <row r="67" ht="20" customHeight="1">
      <c r="A67" s="3" t="n">
        <v>66</v>
      </c>
      <c r="B67" s="12" t="inlineStr">
        <is>
          <t>P3</t>
        </is>
      </c>
      <c r="C67" s="5" t="inlineStr">
        <is>
          <t>Phase 4: Vertical</t>
        </is>
      </c>
      <c r="D67" s="6" t="inlineStr">
        <is>
          <t>SP-XFM-17</t>
        </is>
      </c>
      <c r="E67" s="5" t="inlineStr">
        <is>
          <t>IFRS 15 / IFRS 9 revenue engine</t>
        </is>
      </c>
      <c r="F67" s="7" t="inlineStr">
        <is>
          <t>XFM</t>
        </is>
      </c>
      <c r="G67" s="5" t="inlineStr">
        <is>
          <t>Transformers &amp; Dimensional Modeling</t>
        </is>
      </c>
      <c r="H67" s="8" t="inlineStr">
        <is>
          <t>Planned</t>
        </is>
      </c>
      <c r="I67" s="7" t="inlineStr">
        <is>
          <t>High</t>
        </is>
      </c>
      <c r="J67" s="5" t="inlineStr"/>
      <c r="K67" s="5" t="inlineStr"/>
      <c r="L67" s="5" t="inlineStr">
        <is>
          <t>Financial amortization macro</t>
        </is>
      </c>
      <c r="M67" s="5" t="inlineStr">
        <is>
          <t>Automated financial accounting revenue recognition</t>
        </is>
      </c>
    </row>
    <row r="68" ht="20" customHeight="1">
      <c r="A68" s="3" t="n">
        <v>67</v>
      </c>
      <c r="B68" s="12" t="inlineStr">
        <is>
          <t>P3</t>
        </is>
      </c>
      <c r="C68" s="5" t="inlineStr">
        <is>
          <t>Phase 4: Vertical</t>
        </is>
      </c>
      <c r="D68" s="6" t="inlineStr">
        <is>
          <t>SP-XFM-18</t>
        </is>
      </c>
      <c r="E68" s="5" t="inlineStr">
        <is>
          <t>SIM box &amp; bypass fraud detector</t>
        </is>
      </c>
      <c r="F68" s="7" t="inlineStr">
        <is>
          <t>XFM</t>
        </is>
      </c>
      <c r="G68" s="5" t="inlineStr">
        <is>
          <t>Transformers &amp; Dimensional Modeling</t>
        </is>
      </c>
      <c r="H68" s="8" t="inlineStr">
        <is>
          <t>Planned</t>
        </is>
      </c>
      <c r="I68" s="7" t="inlineStr">
        <is>
          <t>Med</t>
        </is>
      </c>
      <c r="J68" s="5" t="inlineStr"/>
      <c r="K68" s="5" t="inlineStr"/>
      <c r="L68" s="5" t="inlineStr">
        <is>
          <t>CDR heuristics rule templates</t>
        </is>
      </c>
      <c r="M68" s="5" t="inlineStr">
        <is>
          <t>Telecom bypass and unauthorized carrier routing fraud</t>
        </is>
      </c>
    </row>
    <row r="69" ht="20" customHeight="1">
      <c r="A69" s="3" t="n">
        <v>68</v>
      </c>
      <c r="B69" s="12" t="inlineStr">
        <is>
          <t>P3</t>
        </is>
      </c>
      <c r="C69" s="5" t="inlineStr">
        <is>
          <t>Phase 4: Vertical</t>
        </is>
      </c>
      <c r="D69" s="6" t="inlineStr">
        <is>
          <t>SP-XFM-19</t>
        </is>
      </c>
      <c r="E69" s="5" t="inlineStr">
        <is>
          <t>Tariff, rating &amp; usage billing</t>
        </is>
      </c>
      <c r="F69" s="7" t="inlineStr">
        <is>
          <t>XFM</t>
        </is>
      </c>
      <c r="G69" s="5" t="inlineStr">
        <is>
          <t>Transformers &amp; Dimensional Modeling</t>
        </is>
      </c>
      <c r="H69" s="8" t="inlineStr">
        <is>
          <t>Planned</t>
        </is>
      </c>
      <c r="I69" s="7" t="inlineStr">
        <is>
          <t>High</t>
        </is>
      </c>
      <c r="J69" s="5" t="inlineStr"/>
      <c r="K69" s="5" t="inlineStr"/>
      <c r="L69" s="5" t="inlineStr">
        <is>
          <t>Multi-dimensional rating matrix</t>
        </is>
      </c>
      <c r="M69" s="5" t="inlineStr">
        <is>
          <t>Telco/utility usage rating and charge calculation</t>
        </is>
      </c>
    </row>
    <row r="70" ht="20" customHeight="1">
      <c r="A70" s="3" t="n">
        <v>69</v>
      </c>
      <c r="B70" s="12" t="inlineStr">
        <is>
          <t>P3</t>
        </is>
      </c>
      <c r="C70" s="5" t="inlineStr">
        <is>
          <t>Phase 4: Vertical</t>
        </is>
      </c>
      <c r="D70" s="6" t="inlineStr">
        <is>
          <t>SP-XFM-20</t>
        </is>
      </c>
      <c r="E70" s="5" t="inlineStr">
        <is>
          <t>Roaming TAP3 / CIBER surcharger</t>
        </is>
      </c>
      <c r="F70" s="7" t="inlineStr">
        <is>
          <t>XFM</t>
        </is>
      </c>
      <c r="G70" s="5" t="inlineStr">
        <is>
          <t>Transformers &amp; Dimensional Modeling</t>
        </is>
      </c>
      <c r="H70" s="8" t="inlineStr">
        <is>
          <t>Planned</t>
        </is>
      </c>
      <c r="I70" s="7" t="inlineStr">
        <is>
          <t>Med</t>
        </is>
      </c>
      <c r="J70" s="5" t="inlineStr"/>
      <c r="K70" s="5" t="inlineStr"/>
      <c r="L70" s="5" t="inlineStr">
        <is>
          <t>TAP3 currency / fee calculator</t>
        </is>
      </c>
      <c r="M70" s="5" t="inlineStr">
        <is>
          <t>Clearinghouse wholesale roaming billing</t>
        </is>
      </c>
    </row>
    <row r="71" ht="20" customHeight="1">
      <c r="A71" s="3" t="n">
        <v>70</v>
      </c>
      <c r="B71" s="12" t="inlineStr">
        <is>
          <t>P3</t>
        </is>
      </c>
      <c r="C71" s="5" t="inlineStr">
        <is>
          <t>Phase 4: Cybersecurity</t>
        </is>
      </c>
      <c r="D71" s="6" t="inlineStr">
        <is>
          <t>SP-XFM-21</t>
        </is>
      </c>
      <c r="E71" s="5" t="inlineStr">
        <is>
          <t>Velocity &amp; impossible travel anomaly</t>
        </is>
      </c>
      <c r="F71" s="7" t="inlineStr">
        <is>
          <t>XFM</t>
        </is>
      </c>
      <c r="G71" s="5" t="inlineStr">
        <is>
          <t>Transformers &amp; Dimensional Modeling</t>
        </is>
      </c>
      <c r="H71" s="8" t="inlineStr">
        <is>
          <t>Planned</t>
        </is>
      </c>
      <c r="I71" s="7" t="inlineStr">
        <is>
          <t>Med</t>
        </is>
      </c>
      <c r="J71" s="5" t="inlineStr"/>
      <c r="K71" s="5" t="inlineStr"/>
      <c r="L71" s="5" t="inlineStr">
        <is>
          <t>Haversine distance over time delta</t>
        </is>
      </c>
      <c r="M71" s="5" t="inlineStr">
        <is>
          <t>Card transaction and login geolocation fraud detection</t>
        </is>
      </c>
    </row>
    <row r="72" ht="20" customHeight="1">
      <c r="A72" s="3" t="n">
        <v>71</v>
      </c>
      <c r="B72" s="12" t="inlineStr">
        <is>
          <t>P3</t>
        </is>
      </c>
      <c r="C72" s="5" t="inlineStr">
        <is>
          <t>Phase 4: BI</t>
        </is>
      </c>
      <c r="D72" s="6" t="inlineStr">
        <is>
          <t>SP-BI-01</t>
        </is>
      </c>
      <c r="E72" s="5" t="inlineStr">
        <is>
          <t>LOD fixed aggregator</t>
        </is>
      </c>
      <c r="F72" s="7" t="inlineStr">
        <is>
          <t>BI</t>
        </is>
      </c>
      <c r="G72" s="5" t="inlineStr">
        <is>
          <t>Analytics, Time-Series &amp; Semantic Modeling</t>
        </is>
      </c>
      <c r="H72" s="8" t="inlineStr">
        <is>
          <t>Planned</t>
        </is>
      </c>
      <c r="I72" s="7" t="inlineStr">
        <is>
          <t>Med</t>
        </is>
      </c>
      <c r="J72" s="5" t="inlineStr"/>
      <c r="K72" s="5" t="inlineStr"/>
      <c r="L72" s="5" t="inlineStr">
        <is>
          <t>Window partition subquery compiler</t>
        </is>
      </c>
      <c r="M72" s="5" t="inlineStr">
        <is>
          <t>Tableau-style independent grain aggregations</t>
        </is>
      </c>
    </row>
    <row r="73" ht="20" customHeight="1">
      <c r="A73" s="3" t="n">
        <v>72</v>
      </c>
      <c r="B73" s="12" t="inlineStr">
        <is>
          <t>P3</t>
        </is>
      </c>
      <c r="C73" s="5" t="inlineStr">
        <is>
          <t>Phase 4: BI</t>
        </is>
      </c>
      <c r="D73" s="6" t="inlineStr">
        <is>
          <t>SP-BI-02</t>
        </is>
      </c>
      <c r="E73" s="5" t="inlineStr">
        <is>
          <t>LOD include / exclude aggregator</t>
        </is>
      </c>
      <c r="F73" s="7" t="inlineStr">
        <is>
          <t>BI</t>
        </is>
      </c>
      <c r="G73" s="5" t="inlineStr">
        <is>
          <t>Analytics, Time-Series &amp; Semantic Modeling</t>
        </is>
      </c>
      <c r="H73" s="8" t="inlineStr">
        <is>
          <t>Planned</t>
        </is>
      </c>
      <c r="I73" s="7" t="inlineStr">
        <is>
          <t>Med</t>
        </is>
      </c>
      <c r="J73" s="5" t="inlineStr"/>
      <c r="K73" s="5" t="inlineStr"/>
      <c r="L73" s="5" t="inlineStr">
        <is>
          <t>Contextual aggregation modifier</t>
        </is>
      </c>
      <c r="M73" s="5" t="inlineStr">
        <is>
          <t>Dynamic inclusion/exclusion of group dimensions</t>
        </is>
      </c>
    </row>
    <row r="74" ht="20" customHeight="1">
      <c r="A74" s="3" t="n">
        <v>73</v>
      </c>
      <c r="B74" s="12" t="inlineStr">
        <is>
          <t>P3</t>
        </is>
      </c>
      <c r="C74" s="5" t="inlineStr">
        <is>
          <t>Phase 4: Analytics</t>
        </is>
      </c>
      <c r="D74" s="6" t="inlineStr">
        <is>
          <t>SP-BI-06</t>
        </is>
      </c>
      <c r="E74" s="5" t="inlineStr">
        <is>
          <t>Time-series forecaster (Holt-Winters)</t>
        </is>
      </c>
      <c r="F74" s="7" t="inlineStr">
        <is>
          <t>BI</t>
        </is>
      </c>
      <c r="G74" s="5" t="inlineStr">
        <is>
          <t>Analytics, Time-Series &amp; Semantic Modeling</t>
        </is>
      </c>
      <c r="H74" s="8" t="inlineStr">
        <is>
          <t>Planned</t>
        </is>
      </c>
      <c r="I74" s="7" t="inlineStr">
        <is>
          <t>High</t>
        </is>
      </c>
      <c r="J74" s="5" t="inlineStr"/>
      <c r="K74" s="5" t="inlineStr"/>
      <c r="L74" s="5" t="inlineStr">
        <is>
          <t>Triple exponential smoothing math</t>
        </is>
      </c>
      <c r="M74" s="5" t="inlineStr">
        <is>
          <t>Predictive baseline forecasting and capacity projection</t>
        </is>
      </c>
    </row>
    <row r="75" ht="20" customHeight="1">
      <c r="A75" s="3" t="n">
        <v>74</v>
      </c>
      <c r="B75" s="12" t="inlineStr">
        <is>
          <t>P3</t>
        </is>
      </c>
      <c r="C75" s="5" t="inlineStr">
        <is>
          <t>Phase 4: Transforms</t>
        </is>
      </c>
      <c r="D75" s="6" t="inlineStr">
        <is>
          <t>SP-BI-10</t>
        </is>
      </c>
      <c r="E75" s="5" t="inlineStr">
        <is>
          <t>Smart custom string splitter</t>
        </is>
      </c>
      <c r="F75" s="7" t="inlineStr">
        <is>
          <t>BI</t>
        </is>
      </c>
      <c r="G75" s="5" t="inlineStr">
        <is>
          <t>Analytics, Time-Series &amp; Semantic Modeling</t>
        </is>
      </c>
      <c r="H75" s="8" t="inlineStr">
        <is>
          <t>Planned</t>
        </is>
      </c>
      <c r="I75" s="7" t="inlineStr">
        <is>
          <t>Low</t>
        </is>
      </c>
      <c r="J75" s="5" t="inlineStr"/>
      <c r="K75" s="5" t="inlineStr"/>
      <c r="L75" s="5" t="inlineStr">
        <is>
          <t>DuckDB `string_split_regex`</t>
        </is>
      </c>
      <c r="M75" s="5" t="inlineStr">
        <is>
          <t>Complex delimiter splitting with quote tolerance</t>
        </is>
      </c>
    </row>
    <row r="76" ht="20" customHeight="1">
      <c r="A76" s="3" t="n">
        <v>75</v>
      </c>
      <c r="B76" s="12" t="inlineStr">
        <is>
          <t>P3</t>
        </is>
      </c>
      <c r="C76" s="5" t="inlineStr">
        <is>
          <t>Phase 4: Analytics</t>
        </is>
      </c>
      <c r="D76" s="6" t="inlineStr">
        <is>
          <t>SP-BI-13</t>
        </is>
      </c>
      <c r="E76" s="5" t="inlineStr">
        <is>
          <t>Outlier detector &amp; IQR boxplot fencer</t>
        </is>
      </c>
      <c r="F76" s="7" t="inlineStr">
        <is>
          <t>BI</t>
        </is>
      </c>
      <c r="G76" s="5" t="inlineStr">
        <is>
          <t>Analytics, Time-Series &amp; Semantic Modeling</t>
        </is>
      </c>
      <c r="H76" s="8" t="inlineStr">
        <is>
          <t>Planned</t>
        </is>
      </c>
      <c r="I76" s="7" t="inlineStr">
        <is>
          <t>Low</t>
        </is>
      </c>
      <c r="J76" s="5" t="inlineStr"/>
      <c r="K76" s="5" t="inlineStr"/>
      <c r="L76" s="5" t="inlineStr">
        <is>
          <t>DuckDB `percentile_cont()`</t>
        </is>
      </c>
      <c r="M76" s="5" t="inlineStr">
        <is>
          <t>Statistical data cleaning and spike detection</t>
        </is>
      </c>
    </row>
    <row r="77" ht="20" customHeight="1">
      <c r="A77" s="3" t="n">
        <v>76</v>
      </c>
      <c r="B77" s="12" t="inlineStr">
        <is>
          <t>P3</t>
        </is>
      </c>
      <c r="C77" s="5" t="inlineStr">
        <is>
          <t>Phase 4: Analytics</t>
        </is>
      </c>
      <c r="D77" s="6" t="inlineStr">
        <is>
          <t>SP-BI-14</t>
        </is>
      </c>
      <c r="E77" s="5" t="inlineStr">
        <is>
          <t>Correlation matrix (Pearson/Spearman)</t>
        </is>
      </c>
      <c r="F77" s="7" t="inlineStr">
        <is>
          <t>BI</t>
        </is>
      </c>
      <c r="G77" s="5" t="inlineStr">
        <is>
          <t>Analytics, Time-Series &amp; Semantic Modeling</t>
        </is>
      </c>
      <c r="H77" s="8" t="inlineStr">
        <is>
          <t>Planned</t>
        </is>
      </c>
      <c r="I77" s="7" t="inlineStr">
        <is>
          <t>Low</t>
        </is>
      </c>
      <c r="J77" s="5" t="inlineStr"/>
      <c r="K77" s="5" t="inlineStr"/>
      <c r="L77" s="5" t="inlineStr">
        <is>
          <t>DuckDB `CORR()` matrix query</t>
        </is>
      </c>
      <c r="M77" s="5" t="inlineStr">
        <is>
          <t>Feature selection and multi-variable correlation</t>
        </is>
      </c>
    </row>
    <row r="78" ht="20" customHeight="1">
      <c r="A78" s="3" t="n">
        <v>77</v>
      </c>
      <c r="B78" s="12" t="inlineStr">
        <is>
          <t>P3</t>
        </is>
      </c>
      <c r="C78" s="5" t="inlineStr">
        <is>
          <t>Phase 4: Legacy</t>
        </is>
      </c>
      <c r="D78" s="6" t="inlineStr">
        <is>
          <t>SP-ENR-05</t>
        </is>
      </c>
      <c r="E78" s="5" t="inlineStr">
        <is>
          <t>Parameterized stored-procedure caller</t>
        </is>
      </c>
      <c r="F78" s="7" t="inlineStr">
        <is>
          <t>ENR</t>
        </is>
      </c>
      <c r="G78" s="5" t="inlineStr">
        <is>
          <t>Enrichment, Entity Resolution &amp; AI/ML</t>
        </is>
      </c>
      <c r="H78" s="8" t="inlineStr">
        <is>
          <t>Planned</t>
        </is>
      </c>
      <c r="I78" s="7" t="inlineStr">
        <is>
          <t>Med</t>
        </is>
      </c>
      <c r="J78" s="5" t="inlineStr"/>
      <c r="K78" s="5" t="inlineStr"/>
      <c r="L78" s="5" t="inlineStr">
        <is>
          <t>JDBC `CallableStatement` runner</t>
        </is>
      </c>
      <c r="M78" s="5" t="inlineStr">
        <is>
          <t>Executes complex legacy RDBMS stored procedures</t>
        </is>
      </c>
    </row>
    <row r="79" ht="20" customHeight="1">
      <c r="A79" s="3" t="n">
        <v>78</v>
      </c>
      <c r="B79" s="12" t="inlineStr">
        <is>
          <t>P3</t>
        </is>
      </c>
      <c r="C79" s="5" t="inlineStr">
        <is>
          <t>Phase 4: Advanced MDM</t>
        </is>
      </c>
      <c r="D79" s="6" t="inlineStr">
        <is>
          <t>SP-ENR-06</t>
        </is>
      </c>
      <c r="E79" s="5" t="inlineStr">
        <is>
          <t>Master entity resolution &amp; linkage</t>
        </is>
      </c>
      <c r="F79" s="7" t="inlineStr">
        <is>
          <t>ENR</t>
        </is>
      </c>
      <c r="G79" s="5" t="inlineStr">
        <is>
          <t>Enrichment, Entity Resolution &amp; AI/ML</t>
        </is>
      </c>
      <c r="H79" s="8" t="inlineStr">
        <is>
          <t>Planned</t>
        </is>
      </c>
      <c r="I79" s="7" t="inlineStr">
        <is>
          <t>High</t>
        </is>
      </c>
      <c r="J79" s="5" t="inlineStr"/>
      <c r="K79" s="5" t="inlineStr"/>
      <c r="L79" s="5" t="inlineStr">
        <is>
          <t>Fellegi-Sunter probabilistic matcher</t>
        </is>
      </c>
      <c r="M79" s="5" t="inlineStr">
        <is>
          <t>Enterprise single-customer view record linkage</t>
        </is>
      </c>
    </row>
    <row r="80" ht="20" customHeight="1">
      <c r="A80" s="3" t="n">
        <v>79</v>
      </c>
      <c r="B80" s="12" t="inlineStr">
        <is>
          <t>P3</t>
        </is>
      </c>
      <c r="C80" s="5" t="inlineStr">
        <is>
          <t>Phase 4: Advanced MDM</t>
        </is>
      </c>
      <c r="D80" s="6" t="inlineStr">
        <is>
          <t>SP-ENR-07</t>
        </is>
      </c>
      <c r="E80" s="5" t="inlineStr">
        <is>
          <t>Graph cluster &amp; component tagger</t>
        </is>
      </c>
      <c r="F80" s="7" t="inlineStr">
        <is>
          <t>ENR</t>
        </is>
      </c>
      <c r="G80" s="5" t="inlineStr">
        <is>
          <t>Enrichment, Entity Resolution &amp; AI/ML</t>
        </is>
      </c>
      <c r="H80" s="9" t="inlineStr">
        <is>
          <t>Partial</t>
        </is>
      </c>
      <c r="I80" s="7" t="inlineStr">
        <is>
          <t>Med</t>
        </is>
      </c>
      <c r="J80" s="5" t="inlineStr"/>
      <c r="K80" s="5" t="inlineStr"/>
      <c r="L80" s="5" t="inlineStr">
        <is>
          <t>Graph connected-component worker</t>
        </is>
      </c>
      <c r="M80" s="5" t="inlineStr">
        <is>
          <t>Fraud syndicate and account linkage graph tagging</t>
        </is>
      </c>
    </row>
    <row r="81" ht="20" customHeight="1">
      <c r="A81" s="3" t="n">
        <v>80</v>
      </c>
      <c r="B81" s="12" t="inlineStr">
        <is>
          <t>P3</t>
        </is>
      </c>
      <c r="C81" s="5" t="inlineStr">
        <is>
          <t>Phase 4: AI/ML</t>
        </is>
      </c>
      <c r="D81" s="6" t="inlineStr">
        <is>
          <t>SP-ENR-08</t>
        </is>
      </c>
      <c r="E81" s="5" t="inlineStr">
        <is>
          <t>ONNX Runtime embedded inference</t>
        </is>
      </c>
      <c r="F81" s="7" t="inlineStr">
        <is>
          <t>ENR</t>
        </is>
      </c>
      <c r="G81" s="5" t="inlineStr">
        <is>
          <t>Enrichment, Entity Resolution &amp; AI/ML</t>
        </is>
      </c>
      <c r="H81" s="8" t="inlineStr">
        <is>
          <t>Planned</t>
        </is>
      </c>
      <c r="I81" s="7" t="inlineStr">
        <is>
          <t>High</t>
        </is>
      </c>
      <c r="J81" s="5" t="inlineStr"/>
      <c r="K81" s="5" t="inlineStr"/>
      <c r="L81" s="5" t="inlineStr">
        <is>
          <t>`inspecto-intelligence` onnxruntime</t>
        </is>
      </c>
      <c r="M81" s="5" t="inlineStr">
        <is>
          <t>Low-latency in-process ML model scoring</t>
        </is>
      </c>
    </row>
    <row r="82" ht="20" customHeight="1">
      <c r="A82" s="3" t="n">
        <v>81</v>
      </c>
      <c r="B82" s="12" t="inlineStr">
        <is>
          <t>P3</t>
        </is>
      </c>
      <c r="C82" s="5" t="inlineStr">
        <is>
          <t>Phase 4: AI/ML</t>
        </is>
      </c>
      <c r="D82" s="6" t="inlineStr">
        <is>
          <t>SP-ENR-09</t>
        </is>
      </c>
      <c r="E82" s="5" t="inlineStr">
        <is>
          <t>LLM zero-shot classifier &amp; tagging</t>
        </is>
      </c>
      <c r="F82" s="7" t="inlineStr">
        <is>
          <t>ENR</t>
        </is>
      </c>
      <c r="G82" s="5" t="inlineStr">
        <is>
          <t>Enrichment, Entity Resolution &amp; AI/ML</t>
        </is>
      </c>
      <c r="H82" s="8" t="inlineStr">
        <is>
          <t>Planned</t>
        </is>
      </c>
      <c r="I82" s="7" t="inlineStr">
        <is>
          <t>Med</t>
        </is>
      </c>
      <c r="J82" s="5" t="inlineStr"/>
      <c r="K82" s="5" t="inlineStr"/>
      <c r="L82" s="5" t="inlineStr">
        <is>
          <t>Gemini / OpenAI API batch client</t>
        </is>
      </c>
      <c r="M82" s="5" t="inlineStr">
        <is>
          <t>Unstructured text tagging and intent classification</t>
        </is>
      </c>
    </row>
    <row r="83" ht="20" customHeight="1">
      <c r="A83" s="3" t="n">
        <v>82</v>
      </c>
      <c r="B83" s="12" t="inlineStr">
        <is>
          <t>P3</t>
        </is>
      </c>
      <c r="C83" s="5" t="inlineStr">
        <is>
          <t>Phase 4: AI/ML</t>
        </is>
      </c>
      <c r="D83" s="6" t="inlineStr">
        <is>
          <t>SP-ENR-10</t>
        </is>
      </c>
      <c r="E83" s="5" t="inlineStr">
        <is>
          <t>Text embeddings &amp; vector generator</t>
        </is>
      </c>
      <c r="F83" s="7" t="inlineStr">
        <is>
          <t>ENR</t>
        </is>
      </c>
      <c r="G83" s="5" t="inlineStr">
        <is>
          <t>Enrichment, Entity Resolution &amp; AI/ML</t>
        </is>
      </c>
      <c r="H83" s="8" t="inlineStr">
        <is>
          <t>Planned</t>
        </is>
      </c>
      <c r="I83" s="7" t="inlineStr">
        <is>
          <t>Med</t>
        </is>
      </c>
      <c r="J83" s="5" t="inlineStr"/>
      <c r="K83" s="5" t="inlineStr"/>
      <c r="L83" s="5" t="inlineStr">
        <is>
          <t>Text embedding model integration</t>
        </is>
      </c>
      <c r="M83" s="5" t="inlineStr">
        <is>
          <t>Generates vector arrays for semantic similarity</t>
        </is>
      </c>
    </row>
    <row r="84" ht="20" customHeight="1">
      <c r="A84" s="3" t="n">
        <v>83</v>
      </c>
      <c r="B84" s="12" t="inlineStr">
        <is>
          <t>P3</t>
        </is>
      </c>
      <c r="C84" s="5" t="inlineStr">
        <is>
          <t>Phase 4: Cloud Output</t>
        </is>
      </c>
      <c r="D84" s="6" t="inlineStr">
        <is>
          <t>SP-SNK-12</t>
        </is>
      </c>
      <c r="E84" s="5" t="inlineStr">
        <is>
          <t>AWS SQS / SNS event publisher</t>
        </is>
      </c>
      <c r="F84" s="7" t="inlineStr">
        <is>
          <t>SNK</t>
        </is>
      </c>
      <c r="G84" s="5" t="inlineStr">
        <is>
          <t>Sinks, Storage &amp; Destinations</t>
        </is>
      </c>
      <c r="H84" s="8" t="inlineStr">
        <is>
          <t>Planned</t>
        </is>
      </c>
      <c r="I84" s="7" t="inlineStr">
        <is>
          <t>Med</t>
        </is>
      </c>
      <c r="J84" s="5" t="inlineStr"/>
      <c r="K84" s="5" t="inlineStr"/>
      <c r="L84" s="5" t="inlineStr">
        <is>
          <t>AWS SDK v2 SQS/SNS client</t>
        </is>
      </c>
      <c r="M84" s="5" t="inlineStr">
        <is>
          <t>Emits batch arrival events to AWS event consumers</t>
        </is>
      </c>
    </row>
    <row r="85" ht="20" customHeight="1">
      <c r="A85" s="3" t="n">
        <v>84</v>
      </c>
      <c r="B85" s="13" t="inlineStr">
        <is>
          <t>N/A</t>
        </is>
      </c>
      <c r="C85" s="5" t="inlineStr">
        <is>
          <t>Maintain Internal</t>
        </is>
      </c>
      <c r="D85" s="6" t="inlineStr">
        <is>
          <t>SP-CTL-06</t>
        </is>
      </c>
      <c r="E85" s="5" t="inlineStr">
        <is>
          <t>Transaction &amp; commit controller</t>
        </is>
      </c>
      <c r="F85" s="7" t="inlineStr">
        <is>
          <t>CTL</t>
        </is>
      </c>
      <c r="G85" s="5" t="inlineStr">
        <is>
          <t>Control, Governance &amp; Sequence Integrity</t>
        </is>
      </c>
      <c r="H85" s="9" t="inlineStr">
        <is>
          <t>Partial</t>
        </is>
      </c>
      <c r="I85" s="7" t="inlineStr">
        <is>
          <t>Low</t>
        </is>
      </c>
      <c r="J85" s="5" t="inlineStr"/>
      <c r="K85" s="5" t="inlineStr"/>
      <c r="L85" s="5" t="inlineStr">
        <is>
          <t>*Already internal to engine*</t>
        </is>
      </c>
      <c r="M85" s="5" t="inlineStr">
        <is>
          <t>Handled transparently by `BranchCommitCoordinator`</t>
        </is>
      </c>
    </row>
    <row r="86" ht="20" customHeight="1">
      <c r="A86" s="3" t="n">
        <v>85</v>
      </c>
      <c r="B86" s="13" t="inlineStr">
        <is>
          <t>N/A</t>
        </is>
      </c>
      <c r="C86" s="5" t="inlineStr">
        <is>
          <t>Maintain Legacy</t>
        </is>
      </c>
      <c r="D86" s="6" t="inlineStr">
        <is>
          <t>SP-SNK-04</t>
        </is>
      </c>
      <c r="E86" s="5" t="inlineStr">
        <is>
          <t>Derived view</t>
        </is>
      </c>
      <c r="F86" s="7" t="inlineStr">
        <is>
          <t>SNK</t>
        </is>
      </c>
      <c r="G86" s="5" t="inlineStr">
        <is>
          <t>Sinks, Storage &amp; Destinations</t>
        </is>
      </c>
      <c r="H86" s="9" t="inlineStr">
        <is>
          <t>Partial</t>
        </is>
      </c>
      <c r="I86" s="7" t="inlineStr">
        <is>
          <t>Low</t>
        </is>
      </c>
      <c r="J86" s="5" t="inlineStr"/>
      <c r="K86" s="5" t="inlineStr"/>
      <c r="L86" s="5" t="inlineStr">
        <is>
          <t>*Superseded by Datasets/Views*</t>
        </is>
      </c>
      <c r="M86" s="5" t="inlineStr">
        <is>
          <t>Grandfathered type maintained for backwards compatibility</t>
        </is>
      </c>
    </row>
  </sheetData>
  <autoFilter ref="A1:M86"/>
  <dataValidations count="2">
    <dataValidation sqref="B2:B86" showDropDown="0" showInputMessage="0" showErrorMessage="0" allowBlank="1" type="list">
      <formula1>"P0,P1,P2,P3,Delivered,N/A"</formula1>
    </dataValidation>
    <dataValidation sqref="I2:I86" showDropDown="0" showInputMessage="0" showErrorMessage="0" allowBlank="1" type="list">
      <formula1>"Low,Med,High,Very High"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5" customWidth="1" min="2" max="2"/>
    <col width="10" customWidth="1" min="3" max="3"/>
    <col width="55" customWidth="1" min="4" max="4"/>
    <col width="15" customWidth="1" min="5" max="5"/>
    <col width="46" customWidth="1" min="6" max="6"/>
    <col width="13" customWidth="1" min="7" max="7"/>
    <col width="23" customWidth="1" min="8" max="8"/>
    <col width="21" customWidth="1" min="9" max="9"/>
    <col width="17" customWidth="1" min="10" max="10"/>
    <col width="55" customWidth="1" min="11" max="11"/>
  </cols>
  <sheetData>
    <row r="1" ht="26" customHeight="1">
      <c r="A1" s="1" t="inlineStr">
        <is>
          <t>Board ID</t>
        </is>
      </c>
      <c r="B1" s="2" t="inlineStr">
        <is>
          <t>Catalog ID</t>
        </is>
      </c>
      <c r="C1" s="1" t="inlineStr">
        <is>
          <t>Emoji</t>
        </is>
      </c>
      <c r="D1" s="2" t="inlineStr">
        <is>
          <t>Processor Label</t>
        </is>
      </c>
      <c r="E1" s="1" t="inlineStr">
        <is>
          <t>Family Code</t>
        </is>
      </c>
      <c r="F1" s="2" t="inlineStr">
        <is>
          <t>Family Name</t>
        </is>
      </c>
      <c r="G1" s="1" t="inlineStr">
        <is>
          <t>Status</t>
        </is>
      </c>
      <c r="H1" s="2" t="inlineStr">
        <is>
          <t>Maps To</t>
        </is>
      </c>
      <c r="I1" s="2" t="inlineStr">
        <is>
          <t>Capability / Seam</t>
        </is>
      </c>
      <c r="J1" s="1" t="inlineStr">
        <is>
          <t>Addable in UI</t>
        </is>
      </c>
      <c r="K1" s="2" t="inlineStr">
        <is>
          <t>Notes &amp; Gaps</t>
        </is>
      </c>
    </row>
    <row r="2" ht="20" customHeight="1">
      <c r="A2" s="3" t="inlineStr">
        <is>
          <t>SP-ACQ-01</t>
        </is>
      </c>
      <c r="B2" s="6" t="inlineStr">
        <is>
          <t>acquisition.file.local</t>
        </is>
      </c>
      <c r="C2" s="7" t="inlineStr">
        <is>
          <t>📁</t>
        </is>
      </c>
      <c r="D2" s="5" t="inlineStr">
        <is>
          <t>Local / NFS directory watcher</t>
        </is>
      </c>
      <c r="E2" s="3" t="inlineStr">
        <is>
          <t>ACQ</t>
        </is>
      </c>
      <c r="F2" s="5" t="inlineStr">
        <is>
          <t>Collectors &amp; Ingestion</t>
        </is>
      </c>
      <c r="G2" s="14" t="inlineStr">
        <is>
          <t>Delivered</t>
        </is>
      </c>
      <c r="H2" s="5" t="inlineStr">
        <is>
          <t>acquisition</t>
        </is>
      </c>
      <c r="I2" s="5" t="inlineStr">
        <is>
          <t>—</t>
        </is>
      </c>
      <c r="J2" s="15" t="inlineStr">
        <is>
          <t>Yes</t>
        </is>
      </c>
      <c r="K2" s="5" t="inlineStr">
        <is>
          <t>LocalFileSystemConnector — the default collector</t>
        </is>
      </c>
    </row>
    <row r="3" ht="20" customHeight="1">
      <c r="A3" s="3" t="inlineStr">
        <is>
          <t>SP-ACQ-02</t>
        </is>
      </c>
      <c r="B3" s="6" t="inlineStr">
        <is>
          <t>acquisition.file.sftp</t>
        </is>
      </c>
      <c r="C3" s="7" t="inlineStr">
        <is>
          <t>🔒</t>
        </is>
      </c>
      <c r="D3" s="5" t="inlineStr">
        <is>
          <t>SFTP / FTPS remote ingest</t>
        </is>
      </c>
      <c r="E3" s="3" t="inlineStr">
        <is>
          <t>ACQ</t>
        </is>
      </c>
      <c r="F3" s="5" t="inlineStr">
        <is>
          <t>Collectors &amp; Ingestion</t>
        </is>
      </c>
      <c r="G3" s="14" t="inlineStr">
        <is>
          <t>Delivered</t>
        </is>
      </c>
      <c r="H3" s="5" t="inlineStr">
        <is>
          <t>acquisition</t>
        </is>
      </c>
      <c r="I3" s="5" t="inlineStr">
        <is>
          <t>—</t>
        </is>
      </c>
      <c r="J3" s="15" t="inlineStr">
        <is>
          <t>Yes</t>
        </is>
      </c>
      <c r="K3" s="5" t="inlineStr">
        <is>
          <t>inspecto-connectors (sftp, ftps; key auth, bastion tunnel, host-key pinning)</t>
        </is>
      </c>
    </row>
    <row r="4" ht="20" customHeight="1">
      <c r="A4" s="3" t="inlineStr">
        <is>
          <t>SP-ACQ-03</t>
        </is>
      </c>
      <c r="B4" s="6" t="inlineStr">
        <is>
          <t>acquisition.db.jdbc</t>
        </is>
      </c>
      <c r="C4" s="7" t="inlineStr">
        <is>
          <t>🗄️</t>
        </is>
      </c>
      <c r="D4" s="5" t="inlineStr">
        <is>
          <t>JDBC / SQL query batch reader</t>
        </is>
      </c>
      <c r="E4" s="3" t="inlineStr">
        <is>
          <t>ACQ</t>
        </is>
      </c>
      <c r="F4" s="5" t="inlineStr">
        <is>
          <t>Collectors &amp; Ingestion</t>
        </is>
      </c>
      <c r="G4" s="14" t="inlineStr">
        <is>
          <t>Delivered</t>
        </is>
      </c>
      <c r="H4" s="5" t="inlineStr">
        <is>
          <t>acquisition</t>
        </is>
      </c>
      <c r="I4" s="5" t="inlineStr">
        <is>
          <t>—</t>
        </is>
      </c>
      <c r="J4" s="15" t="inlineStr">
        <is>
          <t>Yes</t>
        </is>
      </c>
      <c r="K4" s="5" t="inlineStr">
        <is>
          <t>the db-export connector (`connector: db`, watermark column)</t>
        </is>
      </c>
    </row>
    <row r="5" ht="20" customHeight="1">
      <c r="A5" s="3" t="inlineStr">
        <is>
          <t>SP-ACQ-04</t>
        </is>
      </c>
      <c r="B5" s="6" t="inlineStr">
        <is>
          <t>acquisition.dataset</t>
        </is>
      </c>
      <c r="C5" s="7" t="inlineStr">
        <is>
          <t>🧱</t>
        </is>
      </c>
      <c r="D5" s="5" t="inlineStr">
        <is>
          <t>Dataset entry (re-ingest a registered Dataset)</t>
        </is>
      </c>
      <c r="E5" s="3" t="inlineStr">
        <is>
          <t>ACQ</t>
        </is>
      </c>
      <c r="F5" s="5" t="inlineStr">
        <is>
          <t>Collectors &amp; Ingestion</t>
        </is>
      </c>
      <c r="G5" s="14" t="inlineStr">
        <is>
          <t>Delivered</t>
        </is>
      </c>
      <c r="H5" s="5" t="inlineStr">
        <is>
          <t>acquisition</t>
        </is>
      </c>
      <c r="I5" s="5" t="inlineStr">
        <is>
          <t>—</t>
        </is>
      </c>
      <c r="J5" s="15" t="inlineStr">
        <is>
          <t>Yes</t>
        </is>
      </c>
      <c r="K5" s="5" t="inlineStr">
        <is>
          <t>UI-S7: `connector: dataset` + `on:dataset` trigger</t>
        </is>
      </c>
    </row>
    <row r="6" ht="20" customHeight="1">
      <c r="A6" s="3" t="inlineStr">
        <is>
          <t>SP-ACQ-05</t>
        </is>
      </c>
      <c r="B6" s="6" t="inlineStr">
        <is>
          <t>acquisition.file.excel</t>
        </is>
      </c>
      <c r="C6" s="7" t="inlineStr">
        <is>
          <t>📑</t>
        </is>
      </c>
      <c r="D6" s="5" t="inlineStr">
        <is>
          <t>Multi-sheet Excel workbook ingest</t>
        </is>
      </c>
      <c r="E6" s="3" t="inlineStr">
        <is>
          <t>ACQ</t>
        </is>
      </c>
      <c r="F6" s="5" t="inlineStr">
        <is>
          <t>Collectors &amp; Ingestion</t>
        </is>
      </c>
      <c r="G6" s="9" t="inlineStr">
        <is>
          <t>Partial</t>
        </is>
      </c>
      <c r="H6" s="5" t="inlineStr">
        <is>
          <t>parser.xlsx</t>
        </is>
      </c>
      <c r="I6" s="5" t="inlineStr">
        <is>
          <t>—</t>
        </is>
      </c>
      <c r="J6" s="15" t="inlineStr">
        <is>
          <t>Yes</t>
        </is>
      </c>
      <c r="K6" s="5" t="inlineStr">
        <is>
          <t>the xlsx PARSER is delivered; per-sheet workbook fan-out as an acquisition is not</t>
        </is>
      </c>
    </row>
    <row r="7" ht="20" customHeight="1">
      <c r="A7" s="3" t="inlineStr">
        <is>
          <t>SP-ACQ-06</t>
        </is>
      </c>
      <c r="B7" s="6" t="inlineStr">
        <is>
          <t>acquisition.file.s3</t>
        </is>
      </c>
      <c r="C7" s="7" t="inlineStr">
        <is>
          <t>☁️</t>
        </is>
      </c>
      <c r="D7" s="5" t="inlineStr">
        <is>
          <t>AWS S3 object ingest</t>
        </is>
      </c>
      <c r="E7" s="3" t="inlineStr">
        <is>
          <t>ACQ</t>
        </is>
      </c>
      <c r="F7" s="5" t="inlineStr">
        <is>
          <t>Collectors &amp; Ingestion</t>
        </is>
      </c>
      <c r="G7" s="8" t="inlineStr">
        <is>
          <t>Planned</t>
        </is>
      </c>
      <c r="H7" s="5" t="inlineStr">
        <is>
          <t>—</t>
        </is>
      </c>
      <c r="I7" s="5" t="inlineStr">
        <is>
          <t>—</t>
        </is>
      </c>
      <c r="J7" s="7" t="inlineStr">
        <is>
          <t>No</t>
        </is>
      </c>
      <c r="K7" s="5" t="inlineStr"/>
    </row>
    <row r="8" ht="20" customHeight="1">
      <c r="A8" s="3" t="inlineStr">
        <is>
          <t>SP-ACQ-07</t>
        </is>
      </c>
      <c r="B8" s="6" t="inlineStr">
        <is>
          <t>acquisition.file.azure</t>
        </is>
      </c>
      <c r="C8" s="7" t="inlineStr">
        <is>
          <t>🌐</t>
        </is>
      </c>
      <c r="D8" s="5" t="inlineStr">
        <is>
          <t>Azure Blob &amp; ADLS Gen2 ingest</t>
        </is>
      </c>
      <c r="E8" s="3" t="inlineStr">
        <is>
          <t>ACQ</t>
        </is>
      </c>
      <c r="F8" s="5" t="inlineStr">
        <is>
          <t>Collectors &amp; Ingestion</t>
        </is>
      </c>
      <c r="G8" s="9" t="inlineStr">
        <is>
          <t>Partial</t>
        </is>
      </c>
      <c r="H8" s="5" t="inlineStr">
        <is>
          <t>acquisition</t>
        </is>
      </c>
      <c r="I8" s="5" t="inlineStr">
        <is>
          <t>—</t>
        </is>
      </c>
      <c r="J8" s="15" t="inlineStr">
        <is>
          <t>Yes</t>
        </is>
      </c>
      <c r="K8" s="5" t="inlineStr">
        <is>
          <t>Connection kind exists (azure blob connector); ADLS Gen2 semantics not proven</t>
        </is>
      </c>
    </row>
    <row r="9" ht="20" customHeight="1">
      <c r="A9" s="3" t="inlineStr">
        <is>
          <t>SP-ACQ-08</t>
        </is>
      </c>
      <c r="B9" s="6" t="inlineStr">
        <is>
          <t>acquisition.file.gcs</t>
        </is>
      </c>
      <c r="C9" s="7" t="inlineStr">
        <is>
          <t>🪣</t>
        </is>
      </c>
      <c r="D9" s="5" t="inlineStr">
        <is>
          <t>Google Cloud Storage ingest</t>
        </is>
      </c>
      <c r="E9" s="3" t="inlineStr">
        <is>
          <t>ACQ</t>
        </is>
      </c>
      <c r="F9" s="5" t="inlineStr">
        <is>
          <t>Collectors &amp; Ingestion</t>
        </is>
      </c>
      <c r="G9" s="8" t="inlineStr">
        <is>
          <t>Planned</t>
        </is>
      </c>
      <c r="H9" s="5" t="inlineStr">
        <is>
          <t>—</t>
        </is>
      </c>
      <c r="I9" s="5" t="inlineStr">
        <is>
          <t>—</t>
        </is>
      </c>
      <c r="J9" s="7" t="inlineStr">
        <is>
          <t>No</t>
        </is>
      </c>
      <c r="K9" s="5" t="inlineStr"/>
    </row>
    <row r="10" ht="20" customHeight="1">
      <c r="A10" s="3" t="inlineStr">
        <is>
          <t>SP-ACQ-09</t>
        </is>
      </c>
      <c r="B10" s="6" t="inlineStr">
        <is>
          <t>acquisition.stream.kafka</t>
        </is>
      </c>
      <c r="C10" s="7" t="inlineStr">
        <is>
          <t>📤</t>
        </is>
      </c>
      <c r="D10" s="5" t="inlineStr">
        <is>
          <t>Apache Kafka consumer</t>
        </is>
      </c>
      <c r="E10" s="3" t="inlineStr">
        <is>
          <t>ACQ</t>
        </is>
      </c>
      <c r="F10" s="5" t="inlineStr">
        <is>
          <t>Collectors &amp; Ingestion</t>
        </is>
      </c>
      <c r="G10" s="9" t="inlineStr">
        <is>
          <t>Partial</t>
        </is>
      </c>
      <c r="H10" s="5" t="inlineStr">
        <is>
          <t>acquisition</t>
        </is>
      </c>
      <c r="I10" s="5" t="inlineStr">
        <is>
          <t>—</t>
        </is>
      </c>
      <c r="J10" s="15" t="inlineStr">
        <is>
          <t>Yes</t>
        </is>
      </c>
      <c r="K10" s="5" t="inlineStr">
        <is>
          <t>Connection kind exists (kafka); consumer-group ingest as a Collector not proven</t>
        </is>
      </c>
    </row>
    <row r="11" ht="20" customHeight="1">
      <c r="A11" s="3" t="inlineStr">
        <is>
          <t>SP-ACQ-10</t>
        </is>
      </c>
      <c r="B11" s="6" t="inlineStr">
        <is>
          <t>acquisition.stream.pulsar</t>
        </is>
      </c>
      <c r="C11" s="7" t="inlineStr">
        <is>
          <t>📨</t>
        </is>
      </c>
      <c r="D11" s="5" t="inlineStr">
        <is>
          <t>Apache Pulsar consumer</t>
        </is>
      </c>
      <c r="E11" s="3" t="inlineStr">
        <is>
          <t>ACQ</t>
        </is>
      </c>
      <c r="F11" s="5" t="inlineStr">
        <is>
          <t>Collectors &amp; Ingestion</t>
        </is>
      </c>
      <c r="G11" s="8" t="inlineStr">
        <is>
          <t>Planned</t>
        </is>
      </c>
      <c r="H11" s="5" t="inlineStr">
        <is>
          <t>—</t>
        </is>
      </c>
      <c r="I11" s="5" t="inlineStr">
        <is>
          <t>—</t>
        </is>
      </c>
      <c r="J11" s="7" t="inlineStr">
        <is>
          <t>No</t>
        </is>
      </c>
      <c r="K11" s="5" t="inlineStr"/>
    </row>
    <row r="12" ht="20" customHeight="1">
      <c r="A12" s="3" t="inlineStr">
        <is>
          <t>SP-ACQ-11</t>
        </is>
      </c>
      <c r="B12" s="6" t="inlineStr">
        <is>
          <t>acquisition.stream.kinesis</t>
        </is>
      </c>
      <c r="C12" s="7" t="inlineStr">
        <is>
          <t>📬</t>
        </is>
      </c>
      <c r="D12" s="5" t="inlineStr">
        <is>
          <t>AWS Kinesis / SQS ingest</t>
        </is>
      </c>
      <c r="E12" s="3" t="inlineStr">
        <is>
          <t>ACQ</t>
        </is>
      </c>
      <c r="F12" s="5" t="inlineStr">
        <is>
          <t>Collectors &amp; Ingestion</t>
        </is>
      </c>
      <c r="G12" s="8" t="inlineStr">
        <is>
          <t>Planned</t>
        </is>
      </c>
      <c r="H12" s="5" t="inlineStr">
        <is>
          <t>—</t>
        </is>
      </c>
      <c r="I12" s="5" t="inlineStr">
        <is>
          <t>—</t>
        </is>
      </c>
      <c r="J12" s="7" t="inlineStr">
        <is>
          <t>No</t>
        </is>
      </c>
      <c r="K12" s="5" t="inlineStr"/>
    </row>
    <row r="13" ht="20" customHeight="1">
      <c r="A13" s="3" t="inlineStr">
        <is>
          <t>SP-ACQ-12</t>
        </is>
      </c>
      <c r="B13" s="6" t="inlineStr">
        <is>
          <t>acquisition.stream.rabbitmq</t>
        </is>
      </c>
      <c r="C13" s="7" t="inlineStr">
        <is>
          <t>🐰</t>
        </is>
      </c>
      <c r="D13" s="5" t="inlineStr">
        <is>
          <t>RabbitMQ AMQP subscriber</t>
        </is>
      </c>
      <c r="E13" s="3" t="inlineStr">
        <is>
          <t>ACQ</t>
        </is>
      </c>
      <c r="F13" s="5" t="inlineStr">
        <is>
          <t>Collectors &amp; Ingestion</t>
        </is>
      </c>
      <c r="G13" s="8" t="inlineStr">
        <is>
          <t>Planned</t>
        </is>
      </c>
      <c r="H13" s="5" t="inlineStr">
        <is>
          <t>—</t>
        </is>
      </c>
      <c r="I13" s="5" t="inlineStr">
        <is>
          <t>—</t>
        </is>
      </c>
      <c r="J13" s="7" t="inlineStr">
        <is>
          <t>No</t>
        </is>
      </c>
      <c r="K13" s="5" t="inlineStr"/>
    </row>
    <row r="14" ht="20" customHeight="1">
      <c r="A14" s="3" t="inlineStr">
        <is>
          <t>SP-ACQ-13</t>
        </is>
      </c>
      <c r="B14" s="6" t="inlineStr">
        <is>
          <t>acquisition.stream.mqtt</t>
        </is>
      </c>
      <c r="C14" s="7" t="inlineStr">
        <is>
          <t>📡</t>
        </is>
      </c>
      <c r="D14" s="5" t="inlineStr">
        <is>
          <t>MQTT IoT telemetry ingest</t>
        </is>
      </c>
      <c r="E14" s="3" t="inlineStr">
        <is>
          <t>ACQ</t>
        </is>
      </c>
      <c r="F14" s="5" t="inlineStr">
        <is>
          <t>Collectors &amp; Ingestion</t>
        </is>
      </c>
      <c r="G14" s="8" t="inlineStr">
        <is>
          <t>Planned</t>
        </is>
      </c>
      <c r="H14" s="5" t="inlineStr">
        <is>
          <t>—</t>
        </is>
      </c>
      <c r="I14" s="5" t="inlineStr">
        <is>
          <t>—</t>
        </is>
      </c>
      <c r="J14" s="7" t="inlineStr">
        <is>
          <t>No</t>
        </is>
      </c>
      <c r="K14" s="5" t="inlineStr"/>
    </row>
    <row r="15" ht="20" customHeight="1">
      <c r="A15" s="3" t="inlineStr">
        <is>
          <t>SP-ACQ-14</t>
        </is>
      </c>
      <c r="B15" s="6" t="inlineStr">
        <is>
          <t>acquisition.cdc.debezium</t>
        </is>
      </c>
      <c r="C15" s="7" t="inlineStr">
        <is>
          <t>🔄</t>
        </is>
      </c>
      <c r="D15" s="5" t="inlineStr">
        <is>
          <t>Change Data Capture (Debezium)</t>
        </is>
      </c>
      <c r="E15" s="3" t="inlineStr">
        <is>
          <t>ACQ</t>
        </is>
      </c>
      <c r="F15" s="5" t="inlineStr">
        <is>
          <t>Collectors &amp; Ingestion</t>
        </is>
      </c>
      <c r="G15" s="8" t="inlineStr">
        <is>
          <t>Planned</t>
        </is>
      </c>
      <c r="H15" s="5" t="inlineStr">
        <is>
          <t>—</t>
        </is>
      </c>
      <c r="I15" s="5" t="inlineStr">
        <is>
          <t>—</t>
        </is>
      </c>
      <c r="J15" s="7" t="inlineStr">
        <is>
          <t>No</t>
        </is>
      </c>
      <c r="K15" s="5" t="inlineStr"/>
    </row>
    <row r="16" ht="20" customHeight="1">
      <c r="A16" s="3" t="inlineStr">
        <is>
          <t>SP-ACQ-15</t>
        </is>
      </c>
      <c r="B16" s="6" t="inlineStr">
        <is>
          <t>acquisition.lake.delta</t>
        </is>
      </c>
      <c r="C16" s="7" t="inlineStr">
        <is>
          <t>💾</t>
        </is>
      </c>
      <c r="D16" s="5" t="inlineStr">
        <is>
          <t>Delta Lake table reader</t>
        </is>
      </c>
      <c r="E16" s="3" t="inlineStr">
        <is>
          <t>ACQ</t>
        </is>
      </c>
      <c r="F16" s="5" t="inlineStr">
        <is>
          <t>Collectors &amp; Ingestion</t>
        </is>
      </c>
      <c r="G16" s="8" t="inlineStr">
        <is>
          <t>Planned</t>
        </is>
      </c>
      <c r="H16" s="5" t="inlineStr">
        <is>
          <t>—</t>
        </is>
      </c>
      <c r="I16" s="5" t="inlineStr">
        <is>
          <t>—</t>
        </is>
      </c>
      <c r="J16" s="7" t="inlineStr">
        <is>
          <t>No</t>
        </is>
      </c>
      <c r="K16" s="5" t="inlineStr"/>
    </row>
    <row r="17" ht="20" customHeight="1">
      <c r="A17" s="3" t="inlineStr">
        <is>
          <t>SP-ACQ-16</t>
        </is>
      </c>
      <c r="B17" s="6" t="inlineStr">
        <is>
          <t>acquisition.lake.iceberg</t>
        </is>
      </c>
      <c r="C17" s="7" t="inlineStr">
        <is>
          <t>🧊</t>
        </is>
      </c>
      <c r="D17" s="5" t="inlineStr">
        <is>
          <t>Apache Iceberg table ingest</t>
        </is>
      </c>
      <c r="E17" s="3" t="inlineStr">
        <is>
          <t>ACQ</t>
        </is>
      </c>
      <c r="F17" s="5" t="inlineStr">
        <is>
          <t>Collectors &amp; Ingestion</t>
        </is>
      </c>
      <c r="G17" s="8" t="inlineStr">
        <is>
          <t>Planned</t>
        </is>
      </c>
      <c r="H17" s="5" t="inlineStr">
        <is>
          <t>—</t>
        </is>
      </c>
      <c r="I17" s="5" t="inlineStr">
        <is>
          <t>—</t>
        </is>
      </c>
      <c r="J17" s="7" t="inlineStr">
        <is>
          <t>No</t>
        </is>
      </c>
      <c r="K17" s="5" t="inlineStr"/>
    </row>
    <row r="18" ht="20" customHeight="1">
      <c r="A18" s="3" t="inlineStr">
        <is>
          <t>SP-ACQ-17</t>
        </is>
      </c>
      <c r="B18" s="6" t="inlineStr">
        <is>
          <t>acquisition.db.cloud</t>
        </is>
      </c>
      <c r="C18" s="7" t="inlineStr">
        <is>
          <t>❄️</t>
        </is>
      </c>
      <c r="D18" s="5" t="inlineStr">
        <is>
          <t>Snowflake / BigQuery ingest</t>
        </is>
      </c>
      <c r="E18" s="3" t="inlineStr">
        <is>
          <t>ACQ</t>
        </is>
      </c>
      <c r="F18" s="5" t="inlineStr">
        <is>
          <t>Collectors &amp; Ingestion</t>
        </is>
      </c>
      <c r="G18" s="8" t="inlineStr">
        <is>
          <t>Planned</t>
        </is>
      </c>
      <c r="H18" s="5" t="inlineStr">
        <is>
          <t>—</t>
        </is>
      </c>
      <c r="I18" s="5" t="inlineStr">
        <is>
          <t>—</t>
        </is>
      </c>
      <c r="J18" s="7" t="inlineStr">
        <is>
          <t>No</t>
        </is>
      </c>
      <c r="K18" s="5" t="inlineStr"/>
    </row>
    <row r="19" ht="20" customHeight="1">
      <c r="A19" s="3" t="inlineStr">
        <is>
          <t>SP-ACQ-18</t>
        </is>
      </c>
      <c r="B19" s="6" t="inlineStr">
        <is>
          <t>acquisition.api.rest</t>
        </is>
      </c>
      <c r="C19" s="7" t="inlineStr">
        <is>
          <t>🌐</t>
        </is>
      </c>
      <c r="D19" s="5" t="inlineStr">
        <is>
          <t>REST API poller &amp; paged ingest</t>
        </is>
      </c>
      <c r="E19" s="3" t="inlineStr">
        <is>
          <t>ACQ</t>
        </is>
      </c>
      <c r="F19" s="5" t="inlineStr">
        <is>
          <t>Collectors &amp; Ingestion</t>
        </is>
      </c>
      <c r="G19" s="8" t="inlineStr">
        <is>
          <t>Planned</t>
        </is>
      </c>
      <c r="H19" s="5" t="inlineStr">
        <is>
          <t>—</t>
        </is>
      </c>
      <c r="I19" s="5" t="inlineStr">
        <is>
          <t>—</t>
        </is>
      </c>
      <c r="J19" s="7" t="inlineStr">
        <is>
          <t>No</t>
        </is>
      </c>
      <c r="K19" s="5" t="inlineStr"/>
    </row>
    <row r="20" ht="20" customHeight="1">
      <c r="A20" s="3" t="inlineStr">
        <is>
          <t>SP-ACQ-19</t>
        </is>
      </c>
      <c r="B20" s="6" t="inlineStr">
        <is>
          <t>acquisition.api.webhook</t>
        </is>
      </c>
      <c r="C20" s="7" t="inlineStr">
        <is>
          <t>🪝</t>
        </is>
      </c>
      <c r="D20" s="5" t="inlineStr">
        <is>
          <t>HTTP webhook listener endpoint</t>
        </is>
      </c>
      <c r="E20" s="3" t="inlineStr">
        <is>
          <t>ACQ</t>
        </is>
      </c>
      <c r="F20" s="5" t="inlineStr">
        <is>
          <t>Collectors &amp; Ingestion</t>
        </is>
      </c>
      <c r="G20" s="8" t="inlineStr">
        <is>
          <t>Planned</t>
        </is>
      </c>
      <c r="H20" s="5" t="inlineStr">
        <is>
          <t>—</t>
        </is>
      </c>
      <c r="I20" s="5" t="inlineStr">
        <is>
          <t>—</t>
        </is>
      </c>
      <c r="J20" s="7" t="inlineStr">
        <is>
          <t>No</t>
        </is>
      </c>
      <c r="K20" s="5" t="inlineStr"/>
    </row>
    <row r="21" ht="20" customHeight="1">
      <c r="A21" s="3" t="inlineStr">
        <is>
          <t>SP-ACQ-20</t>
        </is>
      </c>
      <c r="B21" s="6" t="inlineStr">
        <is>
          <t>acquisition.api.grpc</t>
        </is>
      </c>
      <c r="C21" s="7" t="inlineStr">
        <is>
          <t>🔌</t>
        </is>
      </c>
      <c r="D21" s="5" t="inlineStr">
        <is>
          <t>gRPC stream receiver</t>
        </is>
      </c>
      <c r="E21" s="3" t="inlineStr">
        <is>
          <t>ACQ</t>
        </is>
      </c>
      <c r="F21" s="5" t="inlineStr">
        <is>
          <t>Collectors &amp; Ingestion</t>
        </is>
      </c>
      <c r="G21" s="8" t="inlineStr">
        <is>
          <t>Planned</t>
        </is>
      </c>
      <c r="H21" s="5" t="inlineStr">
        <is>
          <t>—</t>
        </is>
      </c>
      <c r="I21" s="5" t="inlineStr">
        <is>
          <t>—</t>
        </is>
      </c>
      <c r="J21" s="7" t="inlineStr">
        <is>
          <t>No</t>
        </is>
      </c>
      <c r="K21" s="5" t="inlineStr"/>
    </row>
    <row r="22" ht="20" customHeight="1">
      <c r="A22" s="3" t="inlineStr">
        <is>
          <t>SP-PRS-01</t>
        </is>
      </c>
      <c r="B22" s="6" t="inlineStr">
        <is>
          <t>parser.delimited</t>
        </is>
      </c>
      <c r="C22" s="7" t="inlineStr">
        <is>
          <t>📄</t>
        </is>
      </c>
      <c r="D22" s="5" t="inlineStr">
        <is>
          <t>Delimited / CSV / TSV / PSV parser</t>
        </is>
      </c>
      <c r="E22" s="3" t="inlineStr">
        <is>
          <t>PRS</t>
        </is>
      </c>
      <c r="F22" s="5" t="inlineStr">
        <is>
          <t>Extraction &amp; Format Parsers</t>
        </is>
      </c>
      <c r="G22" s="14" t="inlineStr">
        <is>
          <t>Delivered</t>
        </is>
      </c>
      <c r="H22" s="5" t="inlineStr">
        <is>
          <t>parser.delimited</t>
        </is>
      </c>
      <c r="I22" s="5" t="inlineStr">
        <is>
          <t>—</t>
        </is>
      </c>
      <c r="J22" s="15" t="inlineStr">
        <is>
          <t>Yes</t>
        </is>
      </c>
      <c r="K22" s="5" t="inlineStr"/>
    </row>
    <row r="23" ht="20" customHeight="1">
      <c r="A23" s="3" t="inlineStr">
        <is>
          <t>SP-PRS-02</t>
        </is>
      </c>
      <c r="B23" s="6" t="inlineStr">
        <is>
          <t>parser.fixedwidth</t>
        </is>
      </c>
      <c r="C23" s="7" t="inlineStr">
        <is>
          <t>📦</t>
        </is>
      </c>
      <c r="D23" s="5" t="inlineStr">
        <is>
          <t>Fixed-width column slicer</t>
        </is>
      </c>
      <c r="E23" s="3" t="inlineStr">
        <is>
          <t>PRS</t>
        </is>
      </c>
      <c r="F23" s="5" t="inlineStr">
        <is>
          <t>Extraction &amp; Format Parsers</t>
        </is>
      </c>
      <c r="G23" s="14" t="inlineStr">
        <is>
          <t>Delivered</t>
        </is>
      </c>
      <c r="H23" s="5" t="inlineStr">
        <is>
          <t>parser.fixedwidth</t>
        </is>
      </c>
      <c r="I23" s="5" t="inlineStr">
        <is>
          <t>—</t>
        </is>
      </c>
      <c r="J23" s="15" t="inlineStr">
        <is>
          <t>Yes</t>
        </is>
      </c>
      <c r="K23" s="5" t="inlineStr">
        <is>
          <t>text (`record: line`) and fixed-length binary (`record: bytes`)</t>
        </is>
      </c>
    </row>
    <row r="24" ht="20" customHeight="1">
      <c r="A24" s="3" t="inlineStr">
        <is>
          <t>SP-PRS-03</t>
        </is>
      </c>
      <c r="B24" s="6" t="inlineStr">
        <is>
          <t>parser.json</t>
        </is>
      </c>
      <c r="C24" s="7" t="inlineStr">
        <is>
          <t>🧬</t>
        </is>
      </c>
      <c r="D24" s="5" t="inlineStr">
        <is>
          <t>JSON object &amp; JSON Lines (NDJSON) parser</t>
        </is>
      </c>
      <c r="E24" s="3" t="inlineStr">
        <is>
          <t>PRS</t>
        </is>
      </c>
      <c r="F24" s="5" t="inlineStr">
        <is>
          <t>Extraction &amp; Format Parsers</t>
        </is>
      </c>
      <c r="G24" s="14" t="inlineStr">
        <is>
          <t>Delivered</t>
        </is>
      </c>
      <c r="H24" s="5" t="inlineStr">
        <is>
          <t>parser.json</t>
        </is>
      </c>
      <c r="I24" s="5" t="inlineStr">
        <is>
          <t>—</t>
        </is>
      </c>
      <c r="J24" s="15" t="inlineStr">
        <is>
          <t>Yes</t>
        </is>
      </c>
      <c r="K24" s="5" t="inlineStr"/>
    </row>
    <row r="25" ht="20" customHeight="1">
      <c r="A25" s="3" t="inlineStr">
        <is>
          <t>SP-PRS-04</t>
        </is>
      </c>
      <c r="B25" s="6" t="inlineStr">
        <is>
          <t>parser.excel</t>
        </is>
      </c>
      <c r="C25" s="7" t="inlineStr">
        <is>
          <t>📑</t>
        </is>
      </c>
      <c r="D25" s="5" t="inlineStr">
        <is>
          <t>Excel workbook parser</t>
        </is>
      </c>
      <c r="E25" s="3" t="inlineStr">
        <is>
          <t>PRS</t>
        </is>
      </c>
      <c r="F25" s="5" t="inlineStr">
        <is>
          <t>Extraction &amp; Format Parsers</t>
        </is>
      </c>
      <c r="G25" s="14" t="inlineStr">
        <is>
          <t>Delivered</t>
        </is>
      </c>
      <c r="H25" s="5" t="inlineStr">
        <is>
          <t>parser.xlsx</t>
        </is>
      </c>
      <c r="I25" s="5" t="inlineStr">
        <is>
          <t>—</t>
        </is>
      </c>
      <c r="J25" s="15" t="inlineStr">
        <is>
          <t>Yes</t>
        </is>
      </c>
      <c r="K25" s="5" t="inlineStr">
        <is>
          <t>needs the DuckDB `excel` extension in the bundle (multiformat X1)</t>
        </is>
      </c>
    </row>
    <row r="26" ht="20" customHeight="1">
      <c r="A26" s="3" t="inlineStr">
        <is>
          <t>SP-PRS-05</t>
        </is>
      </c>
      <c r="B26" s="6" t="inlineStr">
        <is>
          <t>parser.xml</t>
        </is>
      </c>
      <c r="C26" s="7" t="inlineStr">
        <is>
          <t>📑</t>
        </is>
      </c>
      <c r="D26" s="5" t="inlineStr">
        <is>
          <t>XML / XPath / DOM unpacker</t>
        </is>
      </c>
      <c r="E26" s="3" t="inlineStr">
        <is>
          <t>PRS</t>
        </is>
      </c>
      <c r="F26" s="5" t="inlineStr">
        <is>
          <t>Extraction &amp; Format Parsers</t>
        </is>
      </c>
      <c r="G26" s="9" t="inlineStr">
        <is>
          <t>Partial</t>
        </is>
      </c>
      <c r="H26" s="5" t="inlineStr">
        <is>
          <t>parser.plugin</t>
        </is>
      </c>
      <c r="I26" s="5" t="inlineStr">
        <is>
          <t>—</t>
        </is>
      </c>
      <c r="J26" s="15" t="inlineStr">
        <is>
          <t>Yes</t>
        </is>
      </c>
      <c r="K26" s="5" t="inlineStr">
        <is>
          <t>tree→segments bridge ships XML ingests; no XPath selector grammar yet</t>
        </is>
      </c>
    </row>
    <row r="27" ht="20" customHeight="1">
      <c r="A27" s="3" t="inlineStr">
        <is>
          <t>SP-PRS-06</t>
        </is>
      </c>
      <c r="B27" s="6" t="inlineStr">
        <is>
          <t>parser.asn1.ber</t>
        </is>
      </c>
      <c r="C27" s="7" t="inlineStr">
        <is>
          <t>📡</t>
        </is>
      </c>
      <c r="D27" s="5" t="inlineStr">
        <is>
          <t>ASN.1 BER telecom CDR decoder</t>
        </is>
      </c>
      <c r="E27" s="3" t="inlineStr">
        <is>
          <t>PRS</t>
        </is>
      </c>
      <c r="F27" s="5" t="inlineStr">
        <is>
          <t>Extraction &amp; Format Parsers</t>
        </is>
      </c>
      <c r="G27" s="14" t="inlineStr">
        <is>
          <t>Delivered</t>
        </is>
      </c>
      <c r="H27" s="5" t="inlineStr">
        <is>
          <t>—</t>
        </is>
      </c>
      <c r="I27" s="5" t="inlineStr">
        <is>
          <t>parser.asn1</t>
        </is>
      </c>
      <c r="J27" s="7" t="inlineStr">
        <is>
          <t>No</t>
        </is>
      </c>
      <c r="K27" s="5" t="inlineStr">
        <is>
          <t>asn-parser reactor (decoders, vendor plugins)</t>
        </is>
      </c>
    </row>
    <row r="28" ht="20" customHeight="1">
      <c r="A28" s="3" t="inlineStr">
        <is>
          <t>SP-PRS-07</t>
        </is>
      </c>
      <c r="B28" s="6" t="inlineStr">
        <is>
          <t>parser.pattern.regex</t>
        </is>
      </c>
      <c r="C28" s="7" t="inlineStr">
        <is>
          <t>🔎</t>
        </is>
      </c>
      <c r="D28" s="5" t="inlineStr">
        <is>
          <t>Named-group regex extractor</t>
        </is>
      </c>
      <c r="E28" s="3" t="inlineStr">
        <is>
          <t>PRS</t>
        </is>
      </c>
      <c r="F28" s="5" t="inlineStr">
        <is>
          <t>Extraction &amp; Format Parsers</t>
        </is>
      </c>
      <c r="G28" s="14" t="inlineStr">
        <is>
          <t>Delivered</t>
        </is>
      </c>
      <c r="H28" s="5" t="inlineStr">
        <is>
          <t>parser.text_regex</t>
        </is>
      </c>
      <c r="I28" s="5" t="inlineStr">
        <is>
          <t>—</t>
        </is>
      </c>
      <c r="J28" s="15" t="inlineStr">
        <is>
          <t>Yes</t>
        </is>
      </c>
      <c r="K28" s="5" t="inlineStr"/>
    </row>
    <row r="29" ht="20" customHeight="1">
      <c r="A29" s="3" t="inlineStr">
        <is>
          <t>SP-PRS-08</t>
        </is>
      </c>
      <c r="B29" s="6" t="inlineStr">
        <is>
          <t>parser.plugin</t>
        </is>
      </c>
      <c r="C29" s="7" t="inlineStr">
        <is>
          <t>🧩</t>
        </is>
      </c>
      <c r="D29" s="5" t="inlineStr">
        <is>
          <t>Custom ingester plugin (segments, multi-event)</t>
        </is>
      </c>
      <c r="E29" s="3" t="inlineStr">
        <is>
          <t>PRS</t>
        </is>
      </c>
      <c r="F29" s="5" t="inlineStr">
        <is>
          <t>Extraction &amp; Format Parsers</t>
        </is>
      </c>
      <c r="G29" s="14" t="inlineStr">
        <is>
          <t>Delivered</t>
        </is>
      </c>
      <c r="H29" s="5" t="inlineStr">
        <is>
          <t>parser.plugin</t>
        </is>
      </c>
      <c r="I29" s="5" t="inlineStr">
        <is>
          <t>—</t>
        </is>
      </c>
      <c r="J29" s="15" t="inlineStr">
        <is>
          <t>Yes</t>
        </is>
      </c>
      <c r="K29" s="5" t="inlineStr">
        <is>
          <t>ParserPlugin SPI; `segments: {CALL, SMS}`</t>
        </is>
      </c>
    </row>
    <row r="30" ht="20" customHeight="1">
      <c r="A30" s="3" t="inlineStr">
        <is>
          <t>SP-PRS-09</t>
        </is>
      </c>
      <c r="B30" s="6" t="inlineStr">
        <is>
          <t>parser.keyvalue</t>
        </is>
      </c>
      <c r="C30" s="7" t="inlineStr">
        <is>
          <t>🏷️</t>
        </is>
      </c>
      <c r="D30" s="5" t="inlineStr">
        <is>
          <t>Key-value / logfmt parser</t>
        </is>
      </c>
      <c r="E30" s="3" t="inlineStr">
        <is>
          <t>PRS</t>
        </is>
      </c>
      <c r="F30" s="5" t="inlineStr">
        <is>
          <t>Extraction &amp; Format Parsers</t>
        </is>
      </c>
      <c r="G30" s="8" t="inlineStr">
        <is>
          <t>Planned</t>
        </is>
      </c>
      <c r="H30" s="5" t="inlineStr">
        <is>
          <t>—</t>
        </is>
      </c>
      <c r="I30" s="5" t="inlineStr">
        <is>
          <t>—</t>
        </is>
      </c>
      <c r="J30" s="7" t="inlineStr">
        <is>
          <t>No</t>
        </is>
      </c>
      <c r="K30" s="5" t="inlineStr"/>
    </row>
    <row r="31" ht="20" customHeight="1">
      <c r="A31" s="3" t="inlineStr">
        <is>
          <t>SP-PRS-10</t>
        </is>
      </c>
      <c r="B31" s="6" t="inlineStr">
        <is>
          <t>parser.yaml</t>
        </is>
      </c>
      <c r="C31" s="7" t="inlineStr">
        <is>
          <t>📜</t>
        </is>
      </c>
      <c r="D31" s="5" t="inlineStr">
        <is>
          <t>YAML document slicer</t>
        </is>
      </c>
      <c r="E31" s="3" t="inlineStr">
        <is>
          <t>PRS</t>
        </is>
      </c>
      <c r="F31" s="5" t="inlineStr">
        <is>
          <t>Extraction &amp; Format Parsers</t>
        </is>
      </c>
      <c r="G31" s="8" t="inlineStr">
        <is>
          <t>Planned</t>
        </is>
      </c>
      <c r="H31" s="5" t="inlineStr">
        <is>
          <t>—</t>
        </is>
      </c>
      <c r="I31" s="5" t="inlineStr">
        <is>
          <t>—</t>
        </is>
      </c>
      <c r="J31" s="7" t="inlineStr">
        <is>
          <t>No</t>
        </is>
      </c>
      <c r="K31" s="5" t="inlineStr"/>
    </row>
    <row r="32" ht="20" customHeight="1">
      <c r="A32" s="3" t="inlineStr">
        <is>
          <t>SP-PRS-11</t>
        </is>
      </c>
      <c r="B32" s="6" t="inlineStr">
        <is>
          <t>parser.asn1.per</t>
        </is>
      </c>
      <c r="C32" s="7" t="inlineStr">
        <is>
          <t>📜</t>
        </is>
      </c>
      <c r="D32" s="5" t="inlineStr">
        <is>
          <t>ASN.1 PER / XER / DER decoder</t>
        </is>
      </c>
      <c r="E32" s="3" t="inlineStr">
        <is>
          <t>PRS</t>
        </is>
      </c>
      <c r="F32" s="5" t="inlineStr">
        <is>
          <t>Extraction &amp; Format Parsers</t>
        </is>
      </c>
      <c r="G32" s="8" t="inlineStr">
        <is>
          <t>Planned</t>
        </is>
      </c>
      <c r="H32" s="5" t="inlineStr">
        <is>
          <t>—</t>
        </is>
      </c>
      <c r="I32" s="5" t="inlineStr">
        <is>
          <t>—</t>
        </is>
      </c>
      <c r="J32" s="7" t="inlineStr">
        <is>
          <t>No</t>
        </is>
      </c>
      <c r="K32" s="5" t="inlineStr"/>
    </row>
    <row r="33" ht="20" customHeight="1">
      <c r="A33" s="3" t="inlineStr">
        <is>
          <t>SP-PRS-12</t>
        </is>
      </c>
      <c r="B33" s="6" t="inlineStr">
        <is>
          <t>parser.mainframe.ebcdic</t>
        </is>
      </c>
      <c r="C33" s="7" t="inlineStr">
        <is>
          <t>📠</t>
        </is>
      </c>
      <c r="D33" s="5" t="inlineStr">
        <is>
          <t>Mainframe EBCDIC &amp; COBOL copybook</t>
        </is>
      </c>
      <c r="E33" s="3" t="inlineStr">
        <is>
          <t>PRS</t>
        </is>
      </c>
      <c r="F33" s="5" t="inlineStr">
        <is>
          <t>Extraction &amp; Format Parsers</t>
        </is>
      </c>
      <c r="G33" s="8" t="inlineStr">
        <is>
          <t>Planned</t>
        </is>
      </c>
      <c r="H33" s="5" t="inlineStr">
        <is>
          <t>—</t>
        </is>
      </c>
      <c r="I33" s="5" t="inlineStr">
        <is>
          <t>—</t>
        </is>
      </c>
      <c r="J33" s="7" t="inlineStr">
        <is>
          <t>No</t>
        </is>
      </c>
      <c r="K33" s="5" t="inlineStr"/>
    </row>
    <row r="34" ht="20" customHeight="1">
      <c r="A34" s="3" t="inlineStr">
        <is>
          <t>SP-PRS-13</t>
        </is>
      </c>
      <c r="B34" s="6" t="inlineStr">
        <is>
          <t>parser.binary.protobuf</t>
        </is>
      </c>
      <c r="C34" s="7" t="inlineStr">
        <is>
          <t>⚡</t>
        </is>
      </c>
      <c r="D34" s="5" t="inlineStr">
        <is>
          <t>Protocol Buffers decoder</t>
        </is>
      </c>
      <c r="E34" s="3" t="inlineStr">
        <is>
          <t>PRS</t>
        </is>
      </c>
      <c r="F34" s="5" t="inlineStr">
        <is>
          <t>Extraction &amp; Format Parsers</t>
        </is>
      </c>
      <c r="G34" s="8" t="inlineStr">
        <is>
          <t>Planned</t>
        </is>
      </c>
      <c r="H34" s="5" t="inlineStr">
        <is>
          <t>—</t>
        </is>
      </c>
      <c r="I34" s="5" t="inlineStr">
        <is>
          <t>—</t>
        </is>
      </c>
      <c r="J34" s="7" t="inlineStr">
        <is>
          <t>No</t>
        </is>
      </c>
      <c r="K34" s="5" t="inlineStr"/>
    </row>
    <row r="35" ht="20" customHeight="1">
      <c r="A35" s="3" t="inlineStr">
        <is>
          <t>SP-PRS-14</t>
        </is>
      </c>
      <c r="B35" s="6" t="inlineStr">
        <is>
          <t>parser.binary.avro</t>
        </is>
      </c>
      <c r="C35" s="7" t="inlineStr">
        <is>
          <t>🦅</t>
        </is>
      </c>
      <c r="D35" s="5" t="inlineStr">
        <is>
          <t>Apache Avro binary decoder</t>
        </is>
      </c>
      <c r="E35" s="3" t="inlineStr">
        <is>
          <t>PRS</t>
        </is>
      </c>
      <c r="F35" s="5" t="inlineStr">
        <is>
          <t>Extraction &amp; Format Parsers</t>
        </is>
      </c>
      <c r="G35" s="8" t="inlineStr">
        <is>
          <t>Planned</t>
        </is>
      </c>
      <c r="H35" s="5" t="inlineStr">
        <is>
          <t>—</t>
        </is>
      </c>
      <c r="I35" s="5" t="inlineStr">
        <is>
          <t>—</t>
        </is>
      </c>
      <c r="J35" s="7" t="inlineStr">
        <is>
          <t>No</t>
        </is>
      </c>
      <c r="K35" s="5" t="inlineStr"/>
    </row>
    <row r="36" ht="20" customHeight="1">
      <c r="A36" s="3" t="inlineStr">
        <is>
          <t>SP-PRS-15</t>
        </is>
      </c>
      <c r="B36" s="6" t="inlineStr">
        <is>
          <t>parser.binary.pcap</t>
        </is>
      </c>
      <c r="C36" s="7" t="inlineStr">
        <is>
          <t>🌐</t>
        </is>
      </c>
      <c r="D36" s="5" t="inlineStr">
        <is>
          <t>PCAP network packet slicer</t>
        </is>
      </c>
      <c r="E36" s="3" t="inlineStr">
        <is>
          <t>PRS</t>
        </is>
      </c>
      <c r="F36" s="5" t="inlineStr">
        <is>
          <t>Extraction &amp; Format Parsers</t>
        </is>
      </c>
      <c r="G36" s="8" t="inlineStr">
        <is>
          <t>Planned</t>
        </is>
      </c>
      <c r="H36" s="5" t="inlineStr">
        <is>
          <t>—</t>
        </is>
      </c>
      <c r="I36" s="5" t="inlineStr">
        <is>
          <t>—</t>
        </is>
      </c>
      <c r="J36" s="7" t="inlineStr">
        <is>
          <t>No</t>
        </is>
      </c>
      <c r="K36" s="5" t="inlineStr"/>
    </row>
    <row r="37" ht="20" customHeight="1">
      <c r="A37" s="3" t="inlineStr">
        <is>
          <t>SP-PRS-16</t>
        </is>
      </c>
      <c r="B37" s="6" t="inlineStr">
        <is>
          <t>parser.pattern.grok</t>
        </is>
      </c>
      <c r="C37" s="7" t="inlineStr">
        <is>
          <t>📜</t>
        </is>
      </c>
      <c r="D37" s="5" t="inlineStr">
        <is>
          <t>Grok / Logstash expression matcher</t>
        </is>
      </c>
      <c r="E37" s="3" t="inlineStr">
        <is>
          <t>PRS</t>
        </is>
      </c>
      <c r="F37" s="5" t="inlineStr">
        <is>
          <t>Extraction &amp; Format Parsers</t>
        </is>
      </c>
      <c r="G37" s="8" t="inlineStr">
        <is>
          <t>Planned</t>
        </is>
      </c>
      <c r="H37" s="5" t="inlineStr">
        <is>
          <t>—</t>
        </is>
      </c>
      <c r="I37" s="5" t="inlineStr">
        <is>
          <t>—</t>
        </is>
      </c>
      <c r="J37" s="7" t="inlineStr">
        <is>
          <t>No</t>
        </is>
      </c>
      <c r="K37" s="5" t="inlineStr"/>
    </row>
    <row r="38" ht="20" customHeight="1">
      <c r="A38" s="3" t="inlineStr">
        <is>
          <t>SP-PRS-17</t>
        </is>
      </c>
      <c r="B38" s="6" t="inlineStr">
        <is>
          <t>parser.pattern.syslog</t>
        </is>
      </c>
      <c r="C38" s="7" t="inlineStr">
        <is>
          <t>🖥️</t>
        </is>
      </c>
      <c r="D38" s="5" t="inlineStr">
        <is>
          <t>Syslog RFC 5424 / RFC 3164 parser</t>
        </is>
      </c>
      <c r="E38" s="3" t="inlineStr">
        <is>
          <t>PRS</t>
        </is>
      </c>
      <c r="F38" s="5" t="inlineStr">
        <is>
          <t>Extraction &amp; Format Parsers</t>
        </is>
      </c>
      <c r="G38" s="8" t="inlineStr">
        <is>
          <t>Planned</t>
        </is>
      </c>
      <c r="H38" s="5" t="inlineStr">
        <is>
          <t>—</t>
        </is>
      </c>
      <c r="I38" s="5" t="inlineStr">
        <is>
          <t>—</t>
        </is>
      </c>
      <c r="J38" s="7" t="inlineStr">
        <is>
          <t>No</t>
        </is>
      </c>
      <c r="K38" s="5" t="inlineStr"/>
    </row>
    <row r="39" ht="20" customHeight="1">
      <c r="A39" s="3" t="inlineStr">
        <is>
          <t>SP-DQ-01</t>
        </is>
      </c>
      <c r="B39" s="6" t="inlineStr">
        <is>
          <t>quality.schema.validator</t>
        </is>
      </c>
      <c r="C39" s="7" t="inlineStr">
        <is>
          <t>🛡️</t>
        </is>
      </c>
      <c r="D39" s="5" t="inlineStr">
        <is>
          <t>Schema registry &amp; structural rejects</t>
        </is>
      </c>
      <c r="E39" s="3" t="inlineStr">
        <is>
          <t>DQ</t>
        </is>
      </c>
      <c r="F39" s="5" t="inlineStr">
        <is>
          <t>Data Quality, Validation &amp; Cleansing</t>
        </is>
      </c>
      <c r="G39" s="14" t="inlineStr">
        <is>
          <t>Delivered</t>
        </is>
      </c>
      <c r="H39" s="5" t="inlineStr">
        <is>
          <t>parser</t>
        </is>
      </c>
      <c r="I39" s="5" t="inlineStr">
        <is>
          <t>—</t>
        </is>
      </c>
      <c r="J39" s="7" t="inlineStr">
        <is>
          <t>No</t>
        </is>
      </c>
      <c r="K39" s="5" t="inlineStr">
        <is>
          <t>the declared schema on the Parse Step: typed fields, TRY_CAST at ingest, structural rejects → quarantine. ⛔ Only HALF of the old "Schema validator &amp; type coercion" — coercion as an AUTHORING act folded into `transform.record` (2026-09-04). What cannot fold is the schema CONTRACT: the declared source column + target type are the cast-failure audit's denominator, and `SchemaCompatibility` gates edits to them BACKWARD</t>
        </is>
      </c>
    </row>
    <row r="40" ht="20" customHeight="1">
      <c r="A40" s="3" t="inlineStr">
        <is>
          <t>SP-DQ-02</t>
        </is>
      </c>
      <c r="B40" s="6" t="inlineStr">
        <is>
          <t>quality.constraint.check</t>
        </is>
      </c>
      <c r="C40" s="7" t="inlineStr">
        <is>
          <t>⚠️</t>
        </is>
      </c>
      <c r="D40" s="5" t="inlineStr">
        <is>
          <t>Constraint &amp; range checker (Expectations)</t>
        </is>
      </c>
      <c r="E40" s="3" t="inlineStr">
        <is>
          <t>DQ</t>
        </is>
      </c>
      <c r="F40" s="5" t="inlineStr">
        <is>
          <t>Data Quality, Validation &amp; Cleansing</t>
        </is>
      </c>
      <c r="G40" s="14" t="inlineStr">
        <is>
          <t>Delivered</t>
        </is>
      </c>
      <c r="H40" s="5" t="inlineStr">
        <is>
          <t>—</t>
        </is>
      </c>
      <c r="I40" s="5" t="inlineStr">
        <is>
          <t>expectation</t>
        </is>
      </c>
      <c r="J40" s="7" t="inlineStr">
        <is>
          <t>No</t>
        </is>
      </c>
      <c r="K40" s="5" t="inlineStr">
        <is>
          <t>Expectations evaluated per Dataset (`ExpectationEvaluator`); not a mid-chain step</t>
        </is>
      </c>
    </row>
    <row r="41" ht="20" customHeight="1">
      <c r="A41" s="3" t="inlineStr">
        <is>
          <t>SP-DQ-03</t>
        </is>
      </c>
      <c r="B41" s="6" t="inlineStr">
        <is>
          <t>quality.dedup.exact</t>
        </is>
      </c>
      <c r="C41" s="7" t="inlineStr">
        <is>
          <t>🧼</t>
        </is>
      </c>
      <c r="D41" s="5" t="inlineStr">
        <is>
          <t>Exact-key deduplicator (within a Consignment)</t>
        </is>
      </c>
      <c r="E41" s="3" t="inlineStr">
        <is>
          <t>DQ</t>
        </is>
      </c>
      <c r="F41" s="5" t="inlineStr">
        <is>
          <t>Data Quality, Validation &amp; Cleansing</t>
        </is>
      </c>
      <c r="G41" s="14" t="inlineStr">
        <is>
          <t>Delivered</t>
        </is>
      </c>
      <c r="H41" s="5" t="inlineStr">
        <is>
          <t>transform.dedup</t>
        </is>
      </c>
      <c r="I41" s="5" t="inlineStr">
        <is>
          <t>—</t>
        </is>
      </c>
      <c r="J41" s="15" t="inlineStr">
        <is>
          <t>Yes</t>
        </is>
      </c>
      <c r="K41" s="5" t="inlineStr">
        <is>
          <t>`scope: consignment` (default)</t>
        </is>
      </c>
    </row>
    <row r="42" ht="20" customHeight="1">
      <c r="A42" s="3" t="inlineStr">
        <is>
          <t>SP-DQ-04</t>
        </is>
      </c>
      <c r="B42" s="6" t="inlineStr">
        <is>
          <t>quality.dedup.windowed</t>
        </is>
      </c>
      <c r="C42" s="7" t="inlineStr">
        <is>
          <t>⏱️</t>
        </is>
      </c>
      <c r="D42" s="5" t="inlineStr">
        <is>
          <t>Sliding time-window deduplicator</t>
        </is>
      </c>
      <c r="E42" s="3" t="inlineStr">
        <is>
          <t>DQ</t>
        </is>
      </c>
      <c r="F42" s="5" t="inlineStr">
        <is>
          <t>Data Quality, Validation &amp; Cleansing</t>
        </is>
      </c>
      <c r="G42" s="14" t="inlineStr">
        <is>
          <t>Delivered</t>
        </is>
      </c>
      <c r="H42" s="5" t="inlineStr">
        <is>
          <t>transform.dedup</t>
        </is>
      </c>
      <c r="I42" s="5" t="inlineStr">
        <is>
          <t>—</t>
        </is>
      </c>
      <c r="J42" s="15" t="inlineStr">
        <is>
          <t>Yes</t>
        </is>
      </c>
      <c r="K42" s="5" t="inlineStr">
        <is>
          <t>D-9: `scope: window(P4D)` + the durable dedup ledger</t>
        </is>
      </c>
    </row>
    <row r="43" ht="20" customHeight="1">
      <c r="A43" s="3" t="inlineStr">
        <is>
          <t>SP-DQ-05</t>
        </is>
      </c>
      <c r="B43" s="6" t="inlineStr">
        <is>
          <t>quality.dedup.file</t>
        </is>
      </c>
      <c r="C43" s="7" t="inlineStr">
        <is>
          <t>🗂️</t>
        </is>
      </c>
      <c r="D43" s="5" t="inlineStr">
        <is>
          <t>File-grain duplicate guard (path / checksum / metadata / marker)</t>
        </is>
      </c>
      <c r="E43" s="3" t="inlineStr">
        <is>
          <t>DQ</t>
        </is>
      </c>
      <c r="F43" s="5" t="inlineStr">
        <is>
          <t>Data Quality, Validation &amp; Cleansing</t>
        </is>
      </c>
      <c r="G43" s="14" t="inlineStr">
        <is>
          <t>Delivered</t>
        </is>
      </c>
      <c r="H43" s="5" t="inlineStr">
        <is>
          <t>acquisition</t>
        </is>
      </c>
      <c r="I43" s="5" t="inlineStr">
        <is>
          <t>—</t>
        </is>
      </c>
      <c r="J43" s="15" t="inlineStr">
        <is>
          <t>Yes</t>
        </is>
      </c>
      <c r="K43" s="5" t="inlineStr">
        <is>
          <t>Collector `duplicate:` policy + marker dedup — a Guarantee, rides the Collector</t>
        </is>
      </c>
    </row>
    <row r="44" ht="20" customHeight="1">
      <c r="A44" s="3" t="inlineStr">
        <is>
          <t>SP-DQ-06</t>
        </is>
      </c>
      <c r="B44" s="6" t="inlineStr">
        <is>
          <t>quality.schema.drift</t>
        </is>
      </c>
      <c r="C44" s="7" t="inlineStr">
        <is>
          <t>🧬</t>
        </is>
      </c>
      <c r="D44" s="5" t="inlineStr">
        <is>
          <t>Schema drift &amp; new-field detector</t>
        </is>
      </c>
      <c r="E44" s="3" t="inlineStr">
        <is>
          <t>DQ</t>
        </is>
      </c>
      <c r="F44" s="5" t="inlineStr">
        <is>
          <t>Data Quality, Validation &amp; Cleansing</t>
        </is>
      </c>
      <c r="G44" s="9" t="inlineStr">
        <is>
          <t>Partial</t>
        </is>
      </c>
      <c r="H44" s="5" t="inlineStr">
        <is>
          <t>—</t>
        </is>
      </c>
      <c r="I44" s="5" t="inlineStr">
        <is>
          <t>expectation</t>
        </is>
      </c>
      <c r="J44" s="7" t="inlineStr">
        <is>
          <t>No</t>
        </is>
      </c>
      <c r="K44" s="5" t="inlineStr">
        <is>
          <t>multi-schema dispatch refuses unknown shapes; no drift REPORT yet</t>
        </is>
      </c>
    </row>
    <row r="45" ht="20" customHeight="1">
      <c r="A45" s="3" t="inlineStr">
        <is>
          <t>SP-DQ-07</t>
        </is>
      </c>
      <c r="B45" s="6" t="inlineStr">
        <is>
          <t>quality.cluster.edit</t>
        </is>
      </c>
      <c r="C45" s="7" t="inlineStr">
        <is>
          <t>🔍</t>
        </is>
      </c>
      <c r="D45" s="5" t="inlineStr">
        <is>
          <t>Cluster &amp; edit value normalizer</t>
        </is>
      </c>
      <c r="E45" s="3" t="inlineStr">
        <is>
          <t>DQ</t>
        </is>
      </c>
      <c r="F45" s="5" t="inlineStr">
        <is>
          <t>Data Quality, Validation &amp; Cleansing</t>
        </is>
      </c>
      <c r="G45" s="8" t="inlineStr">
        <is>
          <t>Planned</t>
        </is>
      </c>
      <c r="H45" s="5" t="inlineStr">
        <is>
          <t>—</t>
        </is>
      </c>
      <c r="I45" s="5" t="inlineStr">
        <is>
          <t>—</t>
        </is>
      </c>
      <c r="J45" s="7" t="inlineStr">
        <is>
          <t>No</t>
        </is>
      </c>
      <c r="K45" s="5" t="inlineStr"/>
    </row>
    <row r="46" ht="20" customHeight="1">
      <c r="A46" s="3" t="inlineStr">
        <is>
          <t>SP-DQ-08</t>
        </is>
      </c>
      <c r="B46" s="6" t="inlineStr">
        <is>
          <t>quality.match.fuzzy</t>
        </is>
      </c>
      <c r="C46" s="7" t="inlineStr">
        <is>
          <t>🔍</t>
        </is>
      </c>
      <c r="D46" s="5" t="inlineStr">
        <is>
          <t>Fuzzy string (Jaro-Winkler) matcher</t>
        </is>
      </c>
      <c r="E46" s="3" t="inlineStr">
        <is>
          <t>DQ</t>
        </is>
      </c>
      <c r="F46" s="5" t="inlineStr">
        <is>
          <t>Data Quality, Validation &amp; Cleansing</t>
        </is>
      </c>
      <c r="G46" s="8" t="inlineStr">
        <is>
          <t>Planned</t>
        </is>
      </c>
      <c r="H46" s="5" t="inlineStr">
        <is>
          <t>—</t>
        </is>
      </c>
      <c r="I46" s="5" t="inlineStr">
        <is>
          <t>—</t>
        </is>
      </c>
      <c r="J46" s="7" t="inlineStr">
        <is>
          <t>No</t>
        </is>
      </c>
      <c r="K46" s="5" t="inlineStr"/>
    </row>
    <row r="47" ht="20" customHeight="1">
      <c r="A47" s="3" t="inlineStr">
        <is>
          <t>SP-DQ-09</t>
        </is>
      </c>
      <c r="B47" s="6" t="inlineStr">
        <is>
          <t>quality.profiler.inline</t>
        </is>
      </c>
      <c r="C47" s="7" t="inlineStr">
        <is>
          <t>🧮</t>
        </is>
      </c>
      <c r="D47" s="5" t="inlineStr">
        <is>
          <t>Inline stream profiler &amp; statistics</t>
        </is>
      </c>
      <c r="E47" s="3" t="inlineStr">
        <is>
          <t>DQ</t>
        </is>
      </c>
      <c r="F47" s="5" t="inlineStr">
        <is>
          <t>Data Quality, Validation &amp; Cleansing</t>
        </is>
      </c>
      <c r="G47" s="9" t="inlineStr">
        <is>
          <t>Partial</t>
        </is>
      </c>
      <c r="H47" s="5" t="inlineStr">
        <is>
          <t>—</t>
        </is>
      </c>
      <c r="I47" s="5" t="inlineStr">
        <is>
          <t>storage_report</t>
        </is>
      </c>
      <c r="J47" s="7" t="inlineStr">
        <is>
          <t>No</t>
        </is>
      </c>
      <c r="K47" s="5" t="inlineStr">
        <is>
          <t>storage/completeness KPIs exist; no per-column profile step</t>
        </is>
      </c>
    </row>
    <row r="48" ht="20" customHeight="1">
      <c r="A48" s="3" t="inlineStr">
        <is>
          <t>SP-DQ-10</t>
        </is>
      </c>
      <c r="B48" s="6" t="inlineStr">
        <is>
          <t>quality.sample.reservoir</t>
        </is>
      </c>
      <c r="C48" s="7" t="inlineStr">
        <is>
          <t>📊</t>
        </is>
      </c>
      <c r="D48" s="5" t="inlineStr">
        <is>
          <t>Statistical &amp; reservoir sampler</t>
        </is>
      </c>
      <c r="E48" s="3" t="inlineStr">
        <is>
          <t>DQ</t>
        </is>
      </c>
      <c r="F48" s="5" t="inlineStr">
        <is>
          <t>Data Quality, Validation &amp; Cleansing</t>
        </is>
      </c>
      <c r="G48" s="8" t="inlineStr">
        <is>
          <t>Planned</t>
        </is>
      </c>
      <c r="H48" s="5" t="inlineStr">
        <is>
          <t>—</t>
        </is>
      </c>
      <c r="I48" s="5" t="inlineStr">
        <is>
          <t>—</t>
        </is>
      </c>
      <c r="J48" s="7" t="inlineStr">
        <is>
          <t>No</t>
        </is>
      </c>
      <c r="K48" s="5" t="inlineStr"/>
    </row>
    <row r="49" ht="20" customHeight="1">
      <c r="A49" s="3" t="inlineStr">
        <is>
          <t>SP-DQ-11</t>
        </is>
      </c>
      <c r="B49" s="6" t="inlineStr">
        <is>
          <t>quality.cleanse.transcode</t>
        </is>
      </c>
      <c r="C49" s="7" t="inlineStr">
        <is>
          <t>🔤</t>
        </is>
      </c>
      <c r="D49" s="5" t="inlineStr">
        <is>
          <t>Character map &amp; code page transcoder</t>
        </is>
      </c>
      <c r="E49" s="3" t="inlineStr">
        <is>
          <t>DQ</t>
        </is>
      </c>
      <c r="F49" s="5" t="inlineStr">
        <is>
          <t>Data Quality, Validation &amp; Cleansing</t>
        </is>
      </c>
      <c r="G49" s="8" t="inlineStr">
        <is>
          <t>Planned</t>
        </is>
      </c>
      <c r="H49" s="5" t="inlineStr">
        <is>
          <t>—</t>
        </is>
      </c>
      <c r="I49" s="5" t="inlineStr">
        <is>
          <t>—</t>
        </is>
      </c>
      <c r="J49" s="7" t="inlineStr">
        <is>
          <t>No</t>
        </is>
      </c>
      <c r="K49" s="5" t="inlineStr"/>
    </row>
    <row r="50" ht="20" customHeight="1">
      <c r="A50" s="3" t="inlineStr">
        <is>
          <t>SP-DQ-12</t>
        </is>
      </c>
      <c r="B50" s="6" t="inlineStr">
        <is>
          <t>quality.pii.mask</t>
        </is>
      </c>
      <c r="C50" s="7" t="inlineStr">
        <is>
          <t>🔒</t>
        </is>
      </c>
      <c r="D50" s="5" t="inlineStr">
        <is>
          <t>PII masking &amp; tokenization</t>
        </is>
      </c>
      <c r="E50" s="3" t="inlineStr">
        <is>
          <t>DQ</t>
        </is>
      </c>
      <c r="F50" s="5" t="inlineStr">
        <is>
          <t>Data Quality, Validation &amp; Cleansing</t>
        </is>
      </c>
      <c r="G50" s="8" t="inlineStr">
        <is>
          <t>Planned</t>
        </is>
      </c>
      <c r="H50" s="5" t="inlineStr">
        <is>
          <t>—</t>
        </is>
      </c>
      <c r="I50" s="5" t="inlineStr">
        <is>
          <t>—</t>
        </is>
      </c>
      <c r="J50" s="7" t="inlineStr">
        <is>
          <t>No</t>
        </is>
      </c>
      <c r="K50" s="5" t="inlineStr">
        <is>
          <t>board SEC-08 — Enterprise only</t>
        </is>
      </c>
    </row>
    <row r="51" ht="20" customHeight="1">
      <c r="A51" s="3" t="inlineStr">
        <is>
          <t>SP-DQ-13</t>
        </is>
      </c>
      <c r="B51" s="6" t="inlineStr">
        <is>
          <t>quality.crypto.hash</t>
        </is>
      </c>
      <c r="C51" s="7" t="inlineStr">
        <is>
          <t>🔑</t>
        </is>
      </c>
      <c r="D51" s="5" t="inlineStr">
        <is>
          <t>One-way salted cryptographic hasher</t>
        </is>
      </c>
      <c r="E51" s="3" t="inlineStr">
        <is>
          <t>DQ</t>
        </is>
      </c>
      <c r="F51" s="5" t="inlineStr">
        <is>
          <t>Data Quality, Validation &amp; Cleansing</t>
        </is>
      </c>
      <c r="G51" s="8" t="inlineStr">
        <is>
          <t>Planned</t>
        </is>
      </c>
      <c r="H51" s="5" t="inlineStr">
        <is>
          <t>—</t>
        </is>
      </c>
      <c r="I51" s="5" t="inlineStr">
        <is>
          <t>—</t>
        </is>
      </c>
      <c r="J51" s="7" t="inlineStr">
        <is>
          <t>No</t>
        </is>
      </c>
      <c r="K51" s="5" t="inlineStr"/>
    </row>
    <row r="52" ht="20" customHeight="1">
      <c r="A52" s="3" t="inlineStr">
        <is>
          <t>SP-DQ-14</t>
        </is>
      </c>
      <c r="B52" s="6" t="inlineStr">
        <is>
          <t>quality.compliance.redact</t>
        </is>
      </c>
      <c r="C52" s="7" t="inlineStr">
        <is>
          <t>🛡️</t>
        </is>
      </c>
      <c r="D52" s="5" t="inlineStr">
        <is>
          <t>GDPR / CCPA field redactor</t>
        </is>
      </c>
      <c r="E52" s="3" t="inlineStr">
        <is>
          <t>DQ</t>
        </is>
      </c>
      <c r="F52" s="5" t="inlineStr">
        <is>
          <t>Data Quality, Validation &amp; Cleansing</t>
        </is>
      </c>
      <c r="G52" s="8" t="inlineStr">
        <is>
          <t>Planned</t>
        </is>
      </c>
      <c r="H52" s="5" t="inlineStr">
        <is>
          <t>—</t>
        </is>
      </c>
      <c r="I52" s="5" t="inlineStr">
        <is>
          <t>—</t>
        </is>
      </c>
      <c r="J52" s="7" t="inlineStr">
        <is>
          <t>No</t>
        </is>
      </c>
      <c r="K52" s="5" t="inlineStr">
        <is>
          <t>board SEC-08 — Enterprise only</t>
        </is>
      </c>
    </row>
    <row r="53" ht="20" customHeight="1">
      <c r="A53" s="3" t="inlineStr">
        <is>
          <t>SP-XFM-01</t>
        </is>
      </c>
      <c r="B53" s="6" t="inlineStr">
        <is>
          <t>transform.record</t>
        </is>
      </c>
      <c r="C53" s="7" t="inlineStr">
        <is>
          <t>🧮</t>
        </is>
      </c>
      <c r="D53" s="5" t="inlineStr">
        <is>
          <t>Record Transformer</t>
        </is>
      </c>
      <c r="E53" s="3" t="inlineStr">
        <is>
          <t>XFM</t>
        </is>
      </c>
      <c r="F53" s="5" t="inlineStr">
        <is>
          <t>Transformers &amp; Dimensional Modeling</t>
        </is>
      </c>
      <c r="G53" s="14" t="inlineStr">
        <is>
          <t>Delivered</t>
        </is>
      </c>
      <c r="H53" s="5" t="inlineStr">
        <is>
          <t>transform.sql</t>
        </is>
      </c>
      <c r="I53" s="5" t="inlineStr">
        <is>
          <t>—</t>
        </is>
      </c>
      <c r="J53" s="15" t="inlineStr">
        <is>
          <t>Yes</t>
        </is>
      </c>
      <c r="K53" s="5" t="inlineStr">
        <is>
          <t>ONE Step that shapes a record: sanitize (trim/pad/replace/case), cast, rename and computed columns — one row per output field over a typed function catalog, generating the SELECT it saves. Folded 2026-09-04 from `transform.expression` + `transform.cast` + `quality.cleanse.trim`, which were three catalog labels over this one grid. `transform.map` was deleted 2026-09-05: a stored `mapping.rules[]` is read as `fields[]` (EXPR → custom, CONCAT_DT → date.concat_parts, FILENAME_DATE → date.from_filename)</t>
        </is>
      </c>
    </row>
    <row r="54" ht="20" customHeight="1">
      <c r="A54" s="3" t="inlineStr">
        <is>
          <t>SP-XFM-02</t>
        </is>
      </c>
      <c r="B54" s="6" t="inlineStr">
        <is>
          <t>transform.filter</t>
        </is>
      </c>
      <c r="C54" s="7" t="inlineStr">
        <is>
          <t>🔽</t>
        </is>
      </c>
      <c r="D54" s="5" t="inlineStr">
        <is>
          <t>Row filter (pre-parse regex / post-map predicate)</t>
        </is>
      </c>
      <c r="E54" s="3" t="inlineStr">
        <is>
          <t>XFM</t>
        </is>
      </c>
      <c r="F54" s="5" t="inlineStr">
        <is>
          <t>Transformers &amp; Dimensional Modeling</t>
        </is>
      </c>
      <c r="G54" s="14" t="inlineStr">
        <is>
          <t>Delivered</t>
        </is>
      </c>
      <c r="H54" s="5" t="inlineStr">
        <is>
          <t>transform.filter</t>
        </is>
      </c>
      <c r="I54" s="5" t="inlineStr">
        <is>
          <t>—</t>
        </is>
      </c>
      <c r="J54" s="15" t="inlineStr">
        <is>
          <t>Yes</t>
        </is>
      </c>
      <c r="K54" s="5" t="inlineStr"/>
    </row>
    <row r="55" ht="20" customHeight="1">
      <c r="A55" s="3" t="inlineStr">
        <is>
          <t>SP-XFM-03</t>
        </is>
      </c>
      <c r="B55" s="6" t="inlineStr">
        <is>
          <t>transform.route</t>
        </is>
      </c>
      <c r="C55" s="7" t="inlineStr">
        <is>
          <t>🔀</t>
        </is>
      </c>
      <c r="D55" s="5" t="inlineStr">
        <is>
          <t>Router — case / clone branches with mid-branch steps</t>
        </is>
      </c>
      <c r="E55" s="3" t="inlineStr">
        <is>
          <t>XFM</t>
        </is>
      </c>
      <c r="F55" s="5" t="inlineStr">
        <is>
          <t>Transformers &amp; Dimensional Modeling</t>
        </is>
      </c>
      <c r="G55" s="14" t="inlineStr">
        <is>
          <t>Delivered</t>
        </is>
      </c>
      <c r="H55" s="5" t="inlineStr">
        <is>
          <t>transform.route</t>
        </is>
      </c>
      <c r="I55" s="5" t="inlineStr">
        <is>
          <t>—</t>
        </is>
      </c>
      <c r="J55" s="15" t="inlineStr">
        <is>
          <t>Yes</t>
        </is>
      </c>
      <c r="K55" s="5" t="inlineStr"/>
    </row>
    <row r="56" ht="20" customHeight="1">
      <c r="A56" s="3" t="inlineStr">
        <is>
          <t>SP-XFM-04</t>
        </is>
      </c>
      <c r="B56" s="6" t="inlineStr">
        <is>
          <t>transform.summarize</t>
        </is>
      </c>
      <c r="C56" s="7" t="inlineStr">
        <is>
          <t>∑</t>
        </is>
      </c>
      <c r="D56" s="5" t="inlineStr">
        <is>
          <t>Group-by summarizer (measures grammar)</t>
        </is>
      </c>
      <c r="E56" s="3" t="inlineStr">
        <is>
          <t>XFM</t>
        </is>
      </c>
      <c r="F56" s="5" t="inlineStr">
        <is>
          <t>Transformers &amp; Dimensional Modeling</t>
        </is>
      </c>
      <c r="G56" s="14" t="inlineStr">
        <is>
          <t>Delivered</t>
        </is>
      </c>
      <c r="H56" s="5" t="inlineStr">
        <is>
          <t>transform.summarize</t>
        </is>
      </c>
      <c r="I56" s="5" t="inlineStr">
        <is>
          <t>—</t>
        </is>
      </c>
      <c r="J56" s="15" t="inlineStr">
        <is>
          <t>Yes</t>
        </is>
      </c>
      <c r="K56" s="5" t="inlineStr"/>
    </row>
    <row r="57" ht="20" customHeight="1">
      <c r="A57" s="3" t="inlineStr">
        <is>
          <t>SP-XFM-05</t>
        </is>
      </c>
      <c r="B57" s="6" t="inlineStr">
        <is>
          <t>transform.join</t>
        </is>
      </c>
      <c r="C57" s="7" t="inlineStr">
        <is>
          <t>🤝</t>
        </is>
      </c>
      <c r="D57" s="5" t="inlineStr">
        <is>
          <t>Reference-store join (versioned references)</t>
        </is>
      </c>
      <c r="E57" s="3" t="inlineStr">
        <is>
          <t>XFM</t>
        </is>
      </c>
      <c r="F57" s="5" t="inlineStr">
        <is>
          <t>Transformers &amp; Dimensional Modeling</t>
        </is>
      </c>
      <c r="G57" s="14" t="inlineStr">
        <is>
          <t>Delivered</t>
        </is>
      </c>
      <c r="H57" s="5" t="inlineStr">
        <is>
          <t>transform.join</t>
        </is>
      </c>
      <c r="I57" s="5" t="inlineStr">
        <is>
          <t>—</t>
        </is>
      </c>
      <c r="J57" s="15" t="inlineStr">
        <is>
          <t>Yes</t>
        </is>
      </c>
      <c r="K57" s="5" t="inlineStr">
        <is>
          <t>at rest only — refused mid-branch (no reference resolver on the ingest lane)</t>
        </is>
      </c>
    </row>
    <row r="58" ht="20" customHeight="1">
      <c r="A58" s="3" t="inlineStr">
        <is>
          <t>SP-XFM-06</t>
        </is>
      </c>
      <c r="B58" s="6" t="inlineStr">
        <is>
          <t>transform.lookup</t>
        </is>
      </c>
      <c r="C58" s="7" t="inlineStr">
        <is>
          <t>🗺️</t>
        </is>
      </c>
      <c r="D58" s="5" t="inlineStr">
        <is>
          <t>Lookup &amp; static map transcoder</t>
        </is>
      </c>
      <c r="E58" s="3" t="inlineStr">
        <is>
          <t>XFM</t>
        </is>
      </c>
      <c r="F58" s="5" t="inlineStr">
        <is>
          <t>Transformers &amp; Dimensional Modeling</t>
        </is>
      </c>
      <c r="G58" s="14" t="inlineStr">
        <is>
          <t>Delivered</t>
        </is>
      </c>
      <c r="H58" s="5" t="inlineStr">
        <is>
          <t>transform.lookup</t>
        </is>
      </c>
      <c r="I58" s="5" t="inlineStr">
        <is>
          <t>—</t>
        </is>
      </c>
      <c r="J58" s="15" t="inlineStr">
        <is>
          <t>Yes</t>
        </is>
      </c>
      <c r="K58" s="5" t="inlineStr">
        <is>
          <t>inline key=value map over one column (2026-09-06); a versioned reference is transform.join</t>
        </is>
      </c>
    </row>
    <row r="59" ht="20" customHeight="1">
      <c r="A59" s="3" t="inlineStr">
        <is>
          <t>SP-XFM-07</t>
        </is>
      </c>
      <c r="B59" s="6" t="inlineStr">
        <is>
          <t>transform.matrix.pivot</t>
        </is>
      </c>
      <c r="C59" s="7" t="inlineStr">
        <is>
          <t>🔀</t>
        </is>
      </c>
      <c r="D59" s="5" t="inlineStr">
        <is>
          <t>Dynamic pivot / transpose</t>
        </is>
      </c>
      <c r="E59" s="3" t="inlineStr">
        <is>
          <t>XFM</t>
        </is>
      </c>
      <c r="F59" s="5" t="inlineStr">
        <is>
          <t>Transformers &amp; Dimensional Modeling</t>
        </is>
      </c>
      <c r="G59" s="8" t="inlineStr">
        <is>
          <t>Planned</t>
        </is>
      </c>
      <c r="H59" s="5" t="inlineStr">
        <is>
          <t>—</t>
        </is>
      </c>
      <c r="I59" s="5" t="inlineStr">
        <is>
          <t>—</t>
        </is>
      </c>
      <c r="J59" s="7" t="inlineStr">
        <is>
          <t>No</t>
        </is>
      </c>
      <c r="K59" s="5" t="inlineStr"/>
    </row>
    <row r="60" ht="20" customHeight="1">
      <c r="A60" s="3" t="inlineStr">
        <is>
          <t>SP-XFM-08</t>
        </is>
      </c>
      <c r="B60" s="6" t="inlineStr">
        <is>
          <t>transform.matrix.unpivot</t>
        </is>
      </c>
      <c r="C60" s="7" t="inlineStr">
        <is>
          <t>🔄</t>
        </is>
      </c>
      <c r="D60" s="5" t="inlineStr">
        <is>
          <t>Unpivot / column flattener</t>
        </is>
      </c>
      <c r="E60" s="3" t="inlineStr">
        <is>
          <t>XFM</t>
        </is>
      </c>
      <c r="F60" s="5" t="inlineStr">
        <is>
          <t>Transformers &amp; Dimensional Modeling</t>
        </is>
      </c>
      <c r="G60" s="8" t="inlineStr">
        <is>
          <t>Planned</t>
        </is>
      </c>
      <c r="H60" s="5" t="inlineStr">
        <is>
          <t>—</t>
        </is>
      </c>
      <c r="I60" s="5" t="inlineStr">
        <is>
          <t>—</t>
        </is>
      </c>
      <c r="J60" s="7" t="inlineStr">
        <is>
          <t>No</t>
        </is>
      </c>
      <c r="K60" s="5" t="inlineStr"/>
    </row>
    <row r="61" ht="20" customHeight="1">
      <c r="A61" s="3" t="inlineStr">
        <is>
          <t>SP-XFM-09</t>
        </is>
      </c>
      <c r="B61" s="6" t="inlineStr">
        <is>
          <t>transform.analytics.rank</t>
        </is>
      </c>
      <c r="C61" s="7" t="inlineStr">
        <is>
          <t>🏆</t>
        </is>
      </c>
      <c r="D61" s="5" t="inlineStr">
        <is>
          <t>Rank &amp; Top-N pruner</t>
        </is>
      </c>
      <c r="E61" s="3" t="inlineStr">
        <is>
          <t>XFM</t>
        </is>
      </c>
      <c r="F61" s="5" t="inlineStr">
        <is>
          <t>Transformers &amp; Dimensional Modeling</t>
        </is>
      </c>
      <c r="G61" s="8" t="inlineStr">
        <is>
          <t>Planned</t>
        </is>
      </c>
      <c r="H61" s="5" t="inlineStr">
        <is>
          <t>—</t>
        </is>
      </c>
      <c r="I61" s="5" t="inlineStr">
        <is>
          <t>—</t>
        </is>
      </c>
      <c r="J61" s="7" t="inlineStr">
        <is>
          <t>No</t>
        </is>
      </c>
      <c r="K61" s="5" t="inlineStr"/>
    </row>
    <row r="62" ht="20" customHeight="1">
      <c r="A62" s="3" t="inlineStr">
        <is>
          <t>SP-XFM-10</t>
        </is>
      </c>
      <c r="B62" s="6" t="inlineStr">
        <is>
          <t>transform.explode</t>
        </is>
      </c>
      <c r="C62" s="7" t="inlineStr">
        <is>
          <t>💥</t>
        </is>
      </c>
      <c r="D62" s="5" t="inlineStr">
        <is>
          <t>Array / object exploder &amp; flattener</t>
        </is>
      </c>
      <c r="E62" s="3" t="inlineStr">
        <is>
          <t>XFM</t>
        </is>
      </c>
      <c r="F62" s="5" t="inlineStr">
        <is>
          <t>Transformers &amp; Dimensional Modeling</t>
        </is>
      </c>
      <c r="G62" s="8" t="inlineStr">
        <is>
          <t>Planned</t>
        </is>
      </c>
      <c r="H62" s="5" t="inlineStr">
        <is>
          <t>—</t>
        </is>
      </c>
      <c r="I62" s="5" t="inlineStr">
        <is>
          <t>—</t>
        </is>
      </c>
      <c r="J62" s="7" t="inlineStr">
        <is>
          <t>No</t>
        </is>
      </c>
      <c r="K62" s="5" t="inlineStr">
        <is>
          <t>the grandfathered `transform.split` node type is the read-only ancestor</t>
        </is>
      </c>
    </row>
    <row r="63" ht="20" customHeight="1">
      <c r="A63" s="3" t="inlineStr">
        <is>
          <t>SP-XFM-11</t>
        </is>
      </c>
      <c r="B63" s="6" t="inlineStr">
        <is>
          <t>transform.join.merge</t>
        </is>
      </c>
      <c r="C63" s="7" t="inlineStr">
        <is>
          <t>🤝</t>
        </is>
      </c>
      <c r="D63" s="5" t="inlineStr">
        <is>
          <t>Presorted stream merge joiner</t>
        </is>
      </c>
      <c r="E63" s="3" t="inlineStr">
        <is>
          <t>XFM</t>
        </is>
      </c>
      <c r="F63" s="5" t="inlineStr">
        <is>
          <t>Transformers &amp; Dimensional Modeling</t>
        </is>
      </c>
      <c r="G63" s="8" t="inlineStr">
        <is>
          <t>Planned</t>
        </is>
      </c>
      <c r="H63" s="5" t="inlineStr">
        <is>
          <t>—</t>
        </is>
      </c>
      <c r="I63" s="5" t="inlineStr">
        <is>
          <t>—</t>
        </is>
      </c>
      <c r="J63" s="7" t="inlineStr">
        <is>
          <t>No</t>
        </is>
      </c>
      <c r="K63" s="5" t="inlineStr">
        <is>
          <t>the grandfathered `transform.merge` node type is the read-only ancestor</t>
        </is>
      </c>
    </row>
    <row r="64" ht="20" customHeight="1">
      <c r="A64" s="3" t="inlineStr">
        <is>
          <t>SP-XFM-12</t>
        </is>
      </c>
      <c r="B64" s="6" t="inlineStr">
        <is>
          <t>transform.dim.scd2</t>
        </is>
      </c>
      <c r="C64" s="7" t="inlineStr">
        <is>
          <t>🏛️</t>
        </is>
      </c>
      <c r="D64" s="5" t="inlineStr">
        <is>
          <t>Slowly changing dimension (SCD Type 2)</t>
        </is>
      </c>
      <c r="E64" s="3" t="inlineStr">
        <is>
          <t>XFM</t>
        </is>
      </c>
      <c r="F64" s="5" t="inlineStr">
        <is>
          <t>Transformers &amp; Dimensional Modeling</t>
        </is>
      </c>
      <c r="G64" s="8" t="inlineStr">
        <is>
          <t>Planned</t>
        </is>
      </c>
      <c r="H64" s="5" t="inlineStr">
        <is>
          <t>—</t>
        </is>
      </c>
      <c r="I64" s="5" t="inlineStr">
        <is>
          <t>—</t>
        </is>
      </c>
      <c r="J64" s="7" t="inlineStr">
        <is>
          <t>No</t>
        </is>
      </c>
      <c r="K64" s="5" t="inlineStr"/>
    </row>
    <row r="65" ht="20" customHeight="1">
      <c r="A65" s="3" t="inlineStr">
        <is>
          <t>SP-XFM-13</t>
        </is>
      </c>
      <c r="B65" s="6" t="inlineStr">
        <is>
          <t>transform.key.surrogate</t>
        </is>
      </c>
      <c r="C65" s="7" t="inlineStr">
        <is>
          <t>🔑</t>
        </is>
      </c>
      <c r="D65" s="5" t="inlineStr">
        <is>
          <t>Monotonic surrogate key generator</t>
        </is>
      </c>
      <c r="E65" s="3" t="inlineStr">
        <is>
          <t>XFM</t>
        </is>
      </c>
      <c r="F65" s="5" t="inlineStr">
        <is>
          <t>Transformers &amp; Dimensional Modeling</t>
        </is>
      </c>
      <c r="G65" s="8" t="inlineStr">
        <is>
          <t>Planned</t>
        </is>
      </c>
      <c r="H65" s="5" t="inlineStr">
        <is>
          <t>—</t>
        </is>
      </c>
      <c r="I65" s="5" t="inlineStr">
        <is>
          <t>—</t>
        </is>
      </c>
      <c r="J65" s="7" t="inlineStr">
        <is>
          <t>No</t>
        </is>
      </c>
      <c r="K65" s="5" t="inlineStr"/>
    </row>
    <row r="66" ht="20" customHeight="1">
      <c r="A66" s="3" t="inlineStr">
        <is>
          <t>SP-XFM-14</t>
        </is>
      </c>
      <c r="B66" s="6" t="inlineStr">
        <is>
          <t>transform.dml.strategy</t>
        </is>
      </c>
      <c r="C66" s="7" t="inlineStr">
        <is>
          <t>🏷️</t>
        </is>
      </c>
      <c r="D66" s="5" t="inlineStr">
        <is>
          <t>DML row-action strategy flagger</t>
        </is>
      </c>
      <c r="E66" s="3" t="inlineStr">
        <is>
          <t>XFM</t>
        </is>
      </c>
      <c r="F66" s="5" t="inlineStr">
        <is>
          <t>Transformers &amp; Dimensional Modeling</t>
        </is>
      </c>
      <c r="G66" s="8" t="inlineStr">
        <is>
          <t>Planned</t>
        </is>
      </c>
      <c r="H66" s="5" t="inlineStr">
        <is>
          <t>—</t>
        </is>
      </c>
      <c r="I66" s="5" t="inlineStr">
        <is>
          <t>—</t>
        </is>
      </c>
      <c r="J66" s="7" t="inlineStr">
        <is>
          <t>No</t>
        </is>
      </c>
      <c r="K66" s="5" t="inlineStr"/>
    </row>
    <row r="67" ht="20" customHeight="1">
      <c r="A67" s="3" t="inlineStr">
        <is>
          <t>SP-XFM-15</t>
        </is>
      </c>
      <c r="B67" s="6" t="inlineStr">
        <is>
          <t>transform.diff.compare</t>
        </is>
      </c>
      <c r="C67" s="7" t="inlineStr">
        <is>
          <t>⚖️</t>
        </is>
      </c>
      <c r="D67" s="5" t="inlineStr">
        <is>
          <t>Dataset differ &amp; change compare</t>
        </is>
      </c>
      <c r="E67" s="3" t="inlineStr">
        <is>
          <t>XFM</t>
        </is>
      </c>
      <c r="F67" s="5" t="inlineStr">
        <is>
          <t>Transformers &amp; Dimensional Modeling</t>
        </is>
      </c>
      <c r="G67" s="9" t="inlineStr">
        <is>
          <t>Partial</t>
        </is>
      </c>
      <c r="H67" s="5" t="inlineStr">
        <is>
          <t>—</t>
        </is>
      </c>
      <c r="I67" s="5" t="inlineStr">
        <is>
          <t>recon</t>
        </is>
      </c>
      <c r="J67" s="7" t="inlineStr">
        <is>
          <t>No</t>
        </is>
      </c>
      <c r="K67" s="5" t="inlineStr">
        <is>
          <t>Reconciliation boards compare Datasets; not a chain step</t>
        </is>
      </c>
    </row>
    <row r="68" ht="20" customHeight="1">
      <c r="A68" s="3" t="inlineStr">
        <is>
          <t>SP-XFM-16</t>
        </is>
      </c>
      <c r="B68" s="6" t="inlineStr">
        <is>
          <t>transform.builder.xml</t>
        </is>
      </c>
      <c r="C68" s="7" t="inlineStr">
        <is>
          <t>🏗️</t>
        </is>
      </c>
      <c r="D68" s="5" t="inlineStr">
        <is>
          <t>Hierarchical XML / JSON document builder</t>
        </is>
      </c>
      <c r="E68" s="3" t="inlineStr">
        <is>
          <t>XFM</t>
        </is>
      </c>
      <c r="F68" s="5" t="inlineStr">
        <is>
          <t>Transformers &amp; Dimensional Modeling</t>
        </is>
      </c>
      <c r="G68" s="8" t="inlineStr">
        <is>
          <t>Planned</t>
        </is>
      </c>
      <c r="H68" s="5" t="inlineStr">
        <is>
          <t>—</t>
        </is>
      </c>
      <c r="I68" s="5" t="inlineStr">
        <is>
          <t>—</t>
        </is>
      </c>
      <c r="J68" s="7" t="inlineStr">
        <is>
          <t>No</t>
        </is>
      </c>
      <c r="K68" s="5" t="inlineStr"/>
    </row>
    <row r="69" ht="20" customHeight="1">
      <c r="A69" s="3" t="inlineStr">
        <is>
          <t>SP-XFM-17</t>
        </is>
      </c>
      <c r="B69" s="6" t="inlineStr">
        <is>
          <t>transform.fintech.ifrs</t>
        </is>
      </c>
      <c r="C69" s="7" t="inlineStr">
        <is>
          <t>📊</t>
        </is>
      </c>
      <c r="D69" s="5" t="inlineStr">
        <is>
          <t>IFRS 15 / IFRS 9 revenue recognition engine</t>
        </is>
      </c>
      <c r="E69" s="3" t="inlineStr">
        <is>
          <t>XFM</t>
        </is>
      </c>
      <c r="F69" s="5" t="inlineStr">
        <is>
          <t>Transformers &amp; Dimensional Modeling</t>
        </is>
      </c>
      <c r="G69" s="8" t="inlineStr">
        <is>
          <t>Planned</t>
        </is>
      </c>
      <c r="H69" s="5" t="inlineStr">
        <is>
          <t>—</t>
        </is>
      </c>
      <c r="I69" s="5" t="inlineStr">
        <is>
          <t>—</t>
        </is>
      </c>
      <c r="J69" s="7" t="inlineStr">
        <is>
          <t>No</t>
        </is>
      </c>
      <c r="K69" s="5" t="inlineStr"/>
    </row>
    <row r="70" ht="20" customHeight="1">
      <c r="A70" s="3" t="inlineStr">
        <is>
          <t>SP-XFM-18</t>
        </is>
      </c>
      <c r="B70" s="6" t="inlineStr">
        <is>
          <t>transform.telecom.simbox</t>
        </is>
      </c>
      <c r="C70" s="7" t="inlineStr">
        <is>
          <t>📱</t>
        </is>
      </c>
      <c r="D70" s="5" t="inlineStr">
        <is>
          <t>SIM box &amp; bypass fraud detector</t>
        </is>
      </c>
      <c r="E70" s="3" t="inlineStr">
        <is>
          <t>XFM</t>
        </is>
      </c>
      <c r="F70" s="5" t="inlineStr">
        <is>
          <t>Transformers &amp; Dimensional Modeling</t>
        </is>
      </c>
      <c r="G70" s="8" t="inlineStr">
        <is>
          <t>Planned</t>
        </is>
      </c>
      <c r="H70" s="5" t="inlineStr">
        <is>
          <t>—</t>
        </is>
      </c>
      <c r="I70" s="5" t="inlineStr">
        <is>
          <t>—</t>
        </is>
      </c>
      <c r="J70" s="7" t="inlineStr">
        <is>
          <t>No</t>
        </is>
      </c>
      <c r="K70" s="5" t="inlineStr"/>
    </row>
    <row r="71" ht="20" customHeight="1">
      <c r="A71" s="3" t="inlineStr">
        <is>
          <t>SP-XFM-19</t>
        </is>
      </c>
      <c r="B71" s="6" t="inlineStr">
        <is>
          <t>transform.telecom.rating</t>
        </is>
      </c>
      <c r="C71" s="7" t="inlineStr">
        <is>
          <t>💵</t>
        </is>
      </c>
      <c r="D71" s="5" t="inlineStr">
        <is>
          <t>Tariff, rating &amp; usage billing engine</t>
        </is>
      </c>
      <c r="E71" s="3" t="inlineStr">
        <is>
          <t>XFM</t>
        </is>
      </c>
      <c r="F71" s="5" t="inlineStr">
        <is>
          <t>Transformers &amp; Dimensional Modeling</t>
        </is>
      </c>
      <c r="G71" s="8" t="inlineStr">
        <is>
          <t>Planned</t>
        </is>
      </c>
      <c r="H71" s="5" t="inlineStr">
        <is>
          <t>—</t>
        </is>
      </c>
      <c r="I71" s="5" t="inlineStr">
        <is>
          <t>—</t>
        </is>
      </c>
      <c r="J71" s="7" t="inlineStr">
        <is>
          <t>No</t>
        </is>
      </c>
      <c r="K71" s="5" t="inlineStr"/>
    </row>
    <row r="72" ht="20" customHeight="1">
      <c r="A72" s="3" t="inlineStr">
        <is>
          <t>SP-XFM-20</t>
        </is>
      </c>
      <c r="B72" s="6" t="inlineStr">
        <is>
          <t>transform.telecom.roaming</t>
        </is>
      </c>
      <c r="C72" s="7" t="inlineStr">
        <is>
          <t>🌍</t>
        </is>
      </c>
      <c r="D72" s="5" t="inlineStr">
        <is>
          <t>Roaming TAP3 / CIBER surcharger</t>
        </is>
      </c>
      <c r="E72" s="3" t="inlineStr">
        <is>
          <t>XFM</t>
        </is>
      </c>
      <c r="F72" s="5" t="inlineStr">
        <is>
          <t>Transformers &amp; Dimensional Modeling</t>
        </is>
      </c>
      <c r="G72" s="8" t="inlineStr">
        <is>
          <t>Planned</t>
        </is>
      </c>
      <c r="H72" s="5" t="inlineStr">
        <is>
          <t>—</t>
        </is>
      </c>
      <c r="I72" s="5" t="inlineStr">
        <is>
          <t>—</t>
        </is>
      </c>
      <c r="J72" s="7" t="inlineStr">
        <is>
          <t>No</t>
        </is>
      </c>
      <c r="K72" s="5" t="inlineStr"/>
    </row>
    <row r="73" ht="20" customHeight="1">
      <c r="A73" s="3" t="inlineStr">
        <is>
          <t>SP-XFM-21</t>
        </is>
      </c>
      <c r="B73" s="6" t="inlineStr">
        <is>
          <t>transform.fintech.velocity</t>
        </is>
      </c>
      <c r="C73" s="7" t="inlineStr">
        <is>
          <t>🚨</t>
        </is>
      </c>
      <c r="D73" s="5" t="inlineStr">
        <is>
          <t>Velocity &amp; impossible-travel anomaly</t>
        </is>
      </c>
      <c r="E73" s="3" t="inlineStr">
        <is>
          <t>XFM</t>
        </is>
      </c>
      <c r="F73" s="5" t="inlineStr">
        <is>
          <t>Transformers &amp; Dimensional Modeling</t>
        </is>
      </c>
      <c r="G73" s="8" t="inlineStr">
        <is>
          <t>Planned</t>
        </is>
      </c>
      <c r="H73" s="5" t="inlineStr">
        <is>
          <t>—</t>
        </is>
      </c>
      <c r="I73" s="5" t="inlineStr">
        <is>
          <t>—</t>
        </is>
      </c>
      <c r="J73" s="7" t="inlineStr">
        <is>
          <t>No</t>
        </is>
      </c>
      <c r="K73" s="5" t="inlineStr"/>
    </row>
    <row r="74" ht="20" customHeight="1">
      <c r="A74" s="3" t="inlineStr">
        <is>
          <t>SP-BI-01</t>
        </is>
      </c>
      <c r="B74" s="6" t="inlineStr">
        <is>
          <t>transform.analytics.lod</t>
        </is>
      </c>
      <c r="C74" s="7" t="inlineStr">
        <is>
          <t>🏛️</t>
        </is>
      </c>
      <c r="D74" s="5" t="inlineStr">
        <is>
          <t>Level-of-detail (LOD) fixed aggregator</t>
        </is>
      </c>
      <c r="E74" s="3" t="inlineStr">
        <is>
          <t>BI</t>
        </is>
      </c>
      <c r="F74" s="5" t="inlineStr">
        <is>
          <t>Analytics, Time-Series &amp; Semantic Modeling</t>
        </is>
      </c>
      <c r="G74" s="8" t="inlineStr">
        <is>
          <t>Planned</t>
        </is>
      </c>
      <c r="H74" s="5" t="inlineStr">
        <is>
          <t>—</t>
        </is>
      </c>
      <c r="I74" s="5" t="inlineStr">
        <is>
          <t>—</t>
        </is>
      </c>
      <c r="J74" s="7" t="inlineStr">
        <is>
          <t>No</t>
        </is>
      </c>
      <c r="K74" s="5" t="inlineStr"/>
    </row>
    <row r="75" ht="20" customHeight="1">
      <c r="A75" s="3" t="inlineStr">
        <is>
          <t>SP-BI-02</t>
        </is>
      </c>
      <c r="B75" s="6" t="inlineStr">
        <is>
          <t>transform.analytics.lod_context</t>
        </is>
      </c>
      <c r="C75" s="7" t="inlineStr">
        <is>
          <t>🏛️</t>
        </is>
      </c>
      <c r="D75" s="5" t="inlineStr">
        <is>
          <t>LOD include / exclude context aggregator</t>
        </is>
      </c>
      <c r="E75" s="3" t="inlineStr">
        <is>
          <t>BI</t>
        </is>
      </c>
      <c r="F75" s="5" t="inlineStr">
        <is>
          <t>Analytics, Time-Series &amp; Semantic Modeling</t>
        </is>
      </c>
      <c r="G75" s="8" t="inlineStr">
        <is>
          <t>Planned</t>
        </is>
      </c>
      <c r="H75" s="5" t="inlineStr">
        <is>
          <t>—</t>
        </is>
      </c>
      <c r="I75" s="5" t="inlineStr">
        <is>
          <t>—</t>
        </is>
      </c>
      <c r="J75" s="7" t="inlineStr">
        <is>
          <t>No</t>
        </is>
      </c>
      <c r="K75" s="5" t="inlineStr"/>
    </row>
    <row r="76" ht="20" customHeight="1">
      <c r="A76" s="3" t="inlineStr">
        <is>
          <t>SP-BI-03</t>
        </is>
      </c>
      <c r="B76" s="6" t="inlineStr">
        <is>
          <t>transform.timeseries.resample</t>
        </is>
      </c>
      <c r="C76" s="7" t="inlineStr">
        <is>
          <t>⏱️</t>
        </is>
      </c>
      <c r="D76" s="5" t="inlineStr">
        <is>
          <t>Time-grain resampler &amp; gap imputer</t>
        </is>
      </c>
      <c r="E76" s="3" t="inlineStr">
        <is>
          <t>BI</t>
        </is>
      </c>
      <c r="F76" s="5" t="inlineStr">
        <is>
          <t>Analytics, Time-Series &amp; Semantic Modeling</t>
        </is>
      </c>
      <c r="G76" s="9" t="inlineStr">
        <is>
          <t>Partial</t>
        </is>
      </c>
      <c r="H76" s="5" t="inlineStr">
        <is>
          <t>—</t>
        </is>
      </c>
      <c r="I76" s="5" t="inlineStr">
        <is>
          <t>measure-grammar</t>
        </is>
      </c>
      <c r="J76" s="7" t="inlineStr">
        <is>
          <t>No</t>
        </is>
      </c>
      <c r="K76" s="5" t="inlineStr">
        <is>
          <t>time grains exist in Studio queries (`QuerySpec.grains`); no resampling step</t>
        </is>
      </c>
    </row>
    <row r="77" ht="20" customHeight="1">
      <c r="A77" s="3" t="inlineStr">
        <is>
          <t>SP-BI-04</t>
        </is>
      </c>
      <c r="B77" s="6" t="inlineStr">
        <is>
          <t>transform.timeseries.shift</t>
        </is>
      </c>
      <c r="C77" s="7" t="inlineStr">
        <is>
          <t>📈</t>
        </is>
      </c>
      <c r="D77" s="5" t="inlineStr">
        <is>
          <t>Period-over-period (YoY / MoM / WoW) shift</t>
        </is>
      </c>
      <c r="E77" s="3" t="inlineStr">
        <is>
          <t>BI</t>
        </is>
      </c>
      <c r="F77" s="5" t="inlineStr">
        <is>
          <t>Analytics, Time-Series &amp; Semantic Modeling</t>
        </is>
      </c>
      <c r="G77" s="8" t="inlineStr">
        <is>
          <t>Planned</t>
        </is>
      </c>
      <c r="H77" s="5" t="inlineStr">
        <is>
          <t>—</t>
        </is>
      </c>
      <c r="I77" s="5" t="inlineStr">
        <is>
          <t>—</t>
        </is>
      </c>
      <c r="J77" s="7" t="inlineStr">
        <is>
          <t>No</t>
        </is>
      </c>
      <c r="K77" s="5" t="inlineStr"/>
    </row>
    <row r="78" ht="20" customHeight="1">
      <c r="A78" s="3" t="inlineStr">
        <is>
          <t>SP-BI-05</t>
        </is>
      </c>
      <c r="B78" s="6" t="inlineStr">
        <is>
          <t>transform.analytics.running</t>
        </is>
      </c>
      <c r="C78" s="7" t="inlineStr">
        <is>
          <t>📊</t>
        </is>
      </c>
      <c r="D78" s="5" t="inlineStr">
        <is>
          <t>Running calculations &amp; moving averages</t>
        </is>
      </c>
      <c r="E78" s="3" t="inlineStr">
        <is>
          <t>BI</t>
        </is>
      </c>
      <c r="F78" s="5" t="inlineStr">
        <is>
          <t>Analytics, Time-Series &amp; Semantic Modeling</t>
        </is>
      </c>
      <c r="G78" s="8" t="inlineStr">
        <is>
          <t>Planned</t>
        </is>
      </c>
      <c r="H78" s="5" t="inlineStr">
        <is>
          <t>—</t>
        </is>
      </c>
      <c r="I78" s="5" t="inlineStr">
        <is>
          <t>—</t>
        </is>
      </c>
      <c r="J78" s="7" t="inlineStr">
        <is>
          <t>No</t>
        </is>
      </c>
      <c r="K78" s="5" t="inlineStr"/>
    </row>
    <row r="79" ht="20" customHeight="1">
      <c r="A79" s="3" t="inlineStr">
        <is>
          <t>SP-BI-06</t>
        </is>
      </c>
      <c r="B79" s="6" t="inlineStr">
        <is>
          <t>transform.timeseries.forecast</t>
        </is>
      </c>
      <c r="C79" s="7" t="inlineStr">
        <is>
          <t>🔮</t>
        </is>
      </c>
      <c r="D79" s="5" t="inlineStr">
        <is>
          <t>Time-series forecaster (Holt-Winters)</t>
        </is>
      </c>
      <c r="E79" s="3" t="inlineStr">
        <is>
          <t>BI</t>
        </is>
      </c>
      <c r="F79" s="5" t="inlineStr">
        <is>
          <t>Analytics, Time-Series &amp; Semantic Modeling</t>
        </is>
      </c>
      <c r="G79" s="8" t="inlineStr">
        <is>
          <t>Planned</t>
        </is>
      </c>
      <c r="H79" s="5" t="inlineStr">
        <is>
          <t>—</t>
        </is>
      </c>
      <c r="I79" s="5" t="inlineStr">
        <is>
          <t>—</t>
        </is>
      </c>
      <c r="J79" s="7" t="inlineStr">
        <is>
          <t>No</t>
        </is>
      </c>
      <c r="K79" s="5" t="inlineStr"/>
    </row>
    <row r="80" ht="20" customHeight="1">
      <c r="A80" s="3" t="inlineStr">
        <is>
          <t>SP-BI-07</t>
        </is>
      </c>
      <c r="B80" s="6" t="inlineStr">
        <is>
          <t>transform.semantic.metric</t>
        </is>
      </c>
      <c r="C80" s="7" t="inlineStr">
        <is>
          <t>📐</t>
        </is>
      </c>
      <c r="D80" s="5" t="inlineStr">
        <is>
          <t>Semantic KPI calculator &amp; Measure formulas</t>
        </is>
      </c>
      <c r="E80" s="3" t="inlineStr">
        <is>
          <t>BI</t>
        </is>
      </c>
      <c r="F80" s="5" t="inlineStr">
        <is>
          <t>Analytics, Time-Series &amp; Semantic Modeling</t>
        </is>
      </c>
      <c r="G80" s="9" t="inlineStr">
        <is>
          <t>Partial</t>
        </is>
      </c>
      <c r="H80" s="5" t="inlineStr">
        <is>
          <t>—</t>
        </is>
      </c>
      <c r="I80" s="5" t="inlineStr">
        <is>
          <t>measure-grammar</t>
        </is>
      </c>
      <c r="J80" s="7" t="inlineStr">
        <is>
          <t>No</t>
        </is>
      </c>
      <c r="K80" s="5" t="inlineStr">
        <is>
          <t>the Measure grammar (`count | agg(field)`) serves Studio + summarize; no named-KPI layer</t>
        </is>
      </c>
    </row>
    <row r="81" ht="20" customHeight="1">
      <c r="A81" s="3" t="inlineStr">
        <is>
          <t>SP-BI-08</t>
        </is>
      </c>
      <c r="B81" s="6" t="inlineStr">
        <is>
          <t>transform.param.jinja</t>
        </is>
      </c>
      <c r="C81" s="7" t="inlineStr">
        <is>
          <t>🏷️</t>
        </is>
      </c>
      <c r="D81" s="5" t="inlineStr">
        <is>
          <t>Template &amp; runtime parameter injector</t>
        </is>
      </c>
      <c r="E81" s="3" t="inlineStr">
        <is>
          <t>BI</t>
        </is>
      </c>
      <c r="F81" s="5" t="inlineStr">
        <is>
          <t>Analytics, Time-Series &amp; Semantic Modeling</t>
        </is>
      </c>
      <c r="G81" s="9" t="inlineStr">
        <is>
          <t>Partial</t>
        </is>
      </c>
      <c r="H81" s="5" t="inlineStr">
        <is>
          <t>—</t>
        </is>
      </c>
      <c r="I81" s="5" t="inlineStr">
        <is>
          <t>sql.template</t>
        </is>
      </c>
      <c r="J81" s="7" t="inlineStr">
        <is>
          <t>No</t>
        </is>
      </c>
      <c r="K81" s="5" t="inlineStr">
        <is>
          <t>the `sql.template` job resolves `$name` tokens; no Jinja</t>
        </is>
      </c>
    </row>
    <row r="82" ht="20" customHeight="1">
      <c r="A82" s="3" t="inlineStr">
        <is>
          <t>SP-BI-09</t>
        </is>
      </c>
      <c r="B82" s="6" t="inlineStr">
        <is>
          <t>transform.data.binning</t>
        </is>
      </c>
      <c r="C82" s="7" t="inlineStr">
        <is>
          <t>📦</t>
        </is>
      </c>
      <c r="D82" s="5" t="inlineStr">
        <is>
          <t>Histogram &amp; quantile binner</t>
        </is>
      </c>
      <c r="E82" s="3" t="inlineStr">
        <is>
          <t>BI</t>
        </is>
      </c>
      <c r="F82" s="5" t="inlineStr">
        <is>
          <t>Analytics, Time-Series &amp; Semantic Modeling</t>
        </is>
      </c>
      <c r="G82" s="8" t="inlineStr">
        <is>
          <t>Planned</t>
        </is>
      </c>
      <c r="H82" s="5" t="inlineStr">
        <is>
          <t>—</t>
        </is>
      </c>
      <c r="I82" s="5" t="inlineStr">
        <is>
          <t>—</t>
        </is>
      </c>
      <c r="J82" s="7" t="inlineStr">
        <is>
          <t>No</t>
        </is>
      </c>
      <c r="K82" s="5" t="inlineStr"/>
    </row>
    <row r="83" ht="20" customHeight="1">
      <c r="A83" s="3" t="inlineStr">
        <is>
          <t>SP-BI-10</t>
        </is>
      </c>
      <c r="B83" s="6" t="inlineStr">
        <is>
          <t>transform.string.smart_split</t>
        </is>
      </c>
      <c r="C83" s="7" t="inlineStr">
        <is>
          <t>✂️</t>
        </is>
      </c>
      <c r="D83" s="5" t="inlineStr">
        <is>
          <t>Smart custom string splitter</t>
        </is>
      </c>
      <c r="E83" s="3" t="inlineStr">
        <is>
          <t>BI</t>
        </is>
      </c>
      <c r="F83" s="5" t="inlineStr">
        <is>
          <t>Analytics, Time-Series &amp; Semantic Modeling</t>
        </is>
      </c>
      <c r="G83" s="8" t="inlineStr">
        <is>
          <t>Planned</t>
        </is>
      </c>
      <c r="H83" s="5" t="inlineStr">
        <is>
          <t>—</t>
        </is>
      </c>
      <c r="I83" s="5" t="inlineStr">
        <is>
          <t>—</t>
        </is>
      </c>
      <c r="J83" s="7" t="inlineStr">
        <is>
          <t>No</t>
        </is>
      </c>
      <c r="K83" s="5" t="inlineStr"/>
    </row>
    <row r="84" ht="20" customHeight="1">
      <c r="A84" s="3" t="inlineStr">
        <is>
          <t>SP-BI-11</t>
        </is>
      </c>
      <c r="B84" s="6" t="inlineStr">
        <is>
          <t>transform.geo.h3</t>
        </is>
      </c>
      <c r="C84" s="7" t="inlineStr">
        <is>
          <t>🗺️</t>
        </is>
      </c>
      <c r="D84" s="5" t="inlineStr">
        <is>
          <t>H3 hexagonal &amp; geohash grid indexer</t>
        </is>
      </c>
      <c r="E84" s="3" t="inlineStr">
        <is>
          <t>BI</t>
        </is>
      </c>
      <c r="F84" s="5" t="inlineStr">
        <is>
          <t>Analytics, Time-Series &amp; Semantic Modeling</t>
        </is>
      </c>
      <c r="G84" s="8" t="inlineStr">
        <is>
          <t>Planned</t>
        </is>
      </c>
      <c r="H84" s="5" t="inlineStr">
        <is>
          <t>—</t>
        </is>
      </c>
      <c r="I84" s="5" t="inlineStr">
        <is>
          <t>—</t>
        </is>
      </c>
      <c r="J84" s="7" t="inlineStr">
        <is>
          <t>No</t>
        </is>
      </c>
      <c r="K84" s="5" t="inlineStr">
        <is>
          <t>needs the DuckDB `spatial`/`h3` extension — board CP-09 gate</t>
        </is>
      </c>
    </row>
    <row r="85" ht="20" customHeight="1">
      <c r="A85" s="3" t="inlineStr">
        <is>
          <t>SP-BI-12</t>
        </is>
      </c>
      <c r="B85" s="6" t="inlineStr">
        <is>
          <t>transform.geo.spatial_join</t>
        </is>
      </c>
      <c r="C85" s="7" t="inlineStr">
        <is>
          <t>📍</t>
        </is>
      </c>
      <c r="D85" s="5" t="inlineStr">
        <is>
          <t>Spatial polygon &amp; point-in-polygon intersect</t>
        </is>
      </c>
      <c r="E85" s="3" t="inlineStr">
        <is>
          <t>BI</t>
        </is>
      </c>
      <c r="F85" s="5" t="inlineStr">
        <is>
          <t>Analytics, Time-Series &amp; Semantic Modeling</t>
        </is>
      </c>
      <c r="G85" s="8" t="inlineStr">
        <is>
          <t>Planned</t>
        </is>
      </c>
      <c r="H85" s="5" t="inlineStr">
        <is>
          <t>—</t>
        </is>
      </c>
      <c r="I85" s="5" t="inlineStr">
        <is>
          <t>—</t>
        </is>
      </c>
      <c r="J85" s="7" t="inlineStr">
        <is>
          <t>No</t>
        </is>
      </c>
      <c r="K85" s="5" t="inlineStr">
        <is>
          <t>needs the DuckDB `spatial` extension — deliberately not loaded (SqlSandbox)</t>
        </is>
      </c>
    </row>
    <row r="86" ht="20" customHeight="1">
      <c r="A86" s="3" t="inlineStr">
        <is>
          <t>SP-BI-13</t>
        </is>
      </c>
      <c r="B86" s="6" t="inlineStr">
        <is>
          <t>transform.stats.outlier</t>
        </is>
      </c>
      <c r="C86" s="7" t="inlineStr">
        <is>
          <t>🚨</t>
        </is>
      </c>
      <c r="D86" s="5" t="inlineStr">
        <is>
          <t>Outlier detector &amp; IQR boxplot fencer</t>
        </is>
      </c>
      <c r="E86" s="3" t="inlineStr">
        <is>
          <t>BI</t>
        </is>
      </c>
      <c r="F86" s="5" t="inlineStr">
        <is>
          <t>Analytics, Time-Series &amp; Semantic Modeling</t>
        </is>
      </c>
      <c r="G86" s="8" t="inlineStr">
        <is>
          <t>Planned</t>
        </is>
      </c>
      <c r="H86" s="5" t="inlineStr">
        <is>
          <t>—</t>
        </is>
      </c>
      <c r="I86" s="5" t="inlineStr">
        <is>
          <t>—</t>
        </is>
      </c>
      <c r="J86" s="7" t="inlineStr">
        <is>
          <t>No</t>
        </is>
      </c>
      <c r="K86" s="5" t="inlineStr"/>
    </row>
    <row r="87" ht="20" customHeight="1">
      <c r="A87" s="3" t="inlineStr">
        <is>
          <t>SP-BI-14</t>
        </is>
      </c>
      <c r="B87" s="6" t="inlineStr">
        <is>
          <t>transform.stats.correlation</t>
        </is>
      </c>
      <c r="C87" s="7" t="inlineStr">
        <is>
          <t>🧮</t>
        </is>
      </c>
      <c r="D87" s="5" t="inlineStr">
        <is>
          <t>Pearson &amp; Spearman correlation matrix</t>
        </is>
      </c>
      <c r="E87" s="3" t="inlineStr">
        <is>
          <t>BI</t>
        </is>
      </c>
      <c r="F87" s="5" t="inlineStr">
        <is>
          <t>Analytics, Time-Series &amp; Semantic Modeling</t>
        </is>
      </c>
      <c r="G87" s="8" t="inlineStr">
        <is>
          <t>Planned</t>
        </is>
      </c>
      <c r="H87" s="5" t="inlineStr">
        <is>
          <t>—</t>
        </is>
      </c>
      <c r="I87" s="5" t="inlineStr">
        <is>
          <t>—</t>
        </is>
      </c>
      <c r="J87" s="7" t="inlineStr">
        <is>
          <t>No</t>
        </is>
      </c>
      <c r="K87" s="5" t="inlineStr"/>
    </row>
    <row r="88" ht="20" customHeight="1">
      <c r="A88" s="3" t="inlineStr">
        <is>
          <t>SP-ENR-01</t>
        </is>
      </c>
      <c r="B88" s="6" t="inlineStr">
        <is>
          <t>enrichment.reference</t>
        </is>
      </c>
      <c r="C88" s="7" t="inlineStr">
        <is>
          <t>📚</t>
        </is>
      </c>
      <c r="D88" s="5" t="inlineStr">
        <is>
          <t>Reference-table enrichment (`*_enrich.toon`, Stage-2)</t>
        </is>
      </c>
      <c r="E88" s="3" t="inlineStr">
        <is>
          <t>ENR</t>
        </is>
      </c>
      <c r="F88" s="5" t="inlineStr">
        <is>
          <t>Enrichment, Entity Resolution &amp; AI/ML</t>
        </is>
      </c>
      <c r="G88" s="14" t="inlineStr">
        <is>
          <t>Delivered</t>
        </is>
      </c>
      <c r="H88" s="5" t="inlineStr">
        <is>
          <t>enrichment</t>
        </is>
      </c>
      <c r="I88" s="5" t="inlineStr">
        <is>
          <t>—</t>
        </is>
      </c>
      <c r="J88" s="15" t="inlineStr">
        <is>
          <t>Yes</t>
        </is>
      </c>
      <c r="K88" s="5" t="inlineStr">
        <is>
          <t>the shipped enrichment job + versioned references</t>
        </is>
      </c>
    </row>
    <row r="89" ht="20" customHeight="1">
      <c r="A89" s="3" t="inlineStr">
        <is>
          <t>SP-ENR-02</t>
        </is>
      </c>
      <c r="B89" s="6" t="inlineStr">
        <is>
          <t>enrichment.geoip</t>
        </is>
      </c>
      <c r="C89" s="7" t="inlineStr">
        <is>
          <t>🌍</t>
        </is>
      </c>
      <c r="D89" s="5" t="inlineStr">
        <is>
          <t>GeoIP &amp; ISP geolocation enricher</t>
        </is>
      </c>
      <c r="E89" s="3" t="inlineStr">
        <is>
          <t>ENR</t>
        </is>
      </c>
      <c r="F89" s="5" t="inlineStr">
        <is>
          <t>Enrichment, Entity Resolution &amp; AI/ML</t>
        </is>
      </c>
      <c r="G89" s="8" t="inlineStr">
        <is>
          <t>Planned</t>
        </is>
      </c>
      <c r="H89" s="5" t="inlineStr">
        <is>
          <t>—</t>
        </is>
      </c>
      <c r="I89" s="5" t="inlineStr">
        <is>
          <t>—</t>
        </is>
      </c>
      <c r="J89" s="7" t="inlineStr">
        <is>
          <t>No</t>
        </is>
      </c>
      <c r="K89" s="5" t="inlineStr"/>
    </row>
    <row r="90" ht="20" customHeight="1">
      <c r="A90" s="3" t="inlineStr">
        <is>
          <t>SP-ENR-03</t>
        </is>
      </c>
      <c r="B90" s="6" t="inlineStr">
        <is>
          <t>enrichment.redis</t>
        </is>
      </c>
      <c r="C90" s="7" t="inlineStr">
        <is>
          <t>⚡</t>
        </is>
      </c>
      <c r="D90" s="5" t="inlineStr">
        <is>
          <t>Redis / in-memory cache lookup</t>
        </is>
      </c>
      <c r="E90" s="3" t="inlineStr">
        <is>
          <t>ENR</t>
        </is>
      </c>
      <c r="F90" s="5" t="inlineStr">
        <is>
          <t>Enrichment, Entity Resolution &amp; AI/ML</t>
        </is>
      </c>
      <c r="G90" s="8" t="inlineStr">
        <is>
          <t>Planned</t>
        </is>
      </c>
      <c r="H90" s="5" t="inlineStr">
        <is>
          <t>—</t>
        </is>
      </c>
      <c r="I90" s="5" t="inlineStr">
        <is>
          <t>—</t>
        </is>
      </c>
      <c r="J90" s="7" t="inlineStr">
        <is>
          <t>No</t>
        </is>
      </c>
      <c r="K90" s="5" t="inlineStr"/>
    </row>
    <row r="91" ht="20" customHeight="1">
      <c r="A91" s="3" t="inlineStr">
        <is>
          <t>SP-ENR-04</t>
        </is>
      </c>
      <c r="B91" s="6" t="inlineStr">
        <is>
          <t>enrichment.rest</t>
        </is>
      </c>
      <c r="C91" s="7" t="inlineStr">
        <is>
          <t>🌐</t>
        </is>
      </c>
      <c r="D91" s="5" t="inlineStr">
        <is>
          <t>Dynamic microservice REST enricher</t>
        </is>
      </c>
      <c r="E91" s="3" t="inlineStr">
        <is>
          <t>ENR</t>
        </is>
      </c>
      <c r="F91" s="5" t="inlineStr">
        <is>
          <t>Enrichment, Entity Resolution &amp; AI/ML</t>
        </is>
      </c>
      <c r="G91" s="8" t="inlineStr">
        <is>
          <t>Planned</t>
        </is>
      </c>
      <c r="H91" s="5" t="inlineStr">
        <is>
          <t>—</t>
        </is>
      </c>
      <c r="I91" s="5" t="inlineStr">
        <is>
          <t>—</t>
        </is>
      </c>
      <c r="J91" s="7" t="inlineStr">
        <is>
          <t>No</t>
        </is>
      </c>
      <c r="K91" s="5" t="inlineStr"/>
    </row>
    <row r="92" ht="20" customHeight="1">
      <c r="A92" s="3" t="inlineStr">
        <is>
          <t>SP-ENR-05</t>
        </is>
      </c>
      <c r="B92" s="6" t="inlineStr">
        <is>
          <t>transform.db.procedure</t>
        </is>
      </c>
      <c r="C92" s="7" t="inlineStr">
        <is>
          <t>🗄️</t>
        </is>
      </c>
      <c r="D92" s="5" t="inlineStr">
        <is>
          <t>Parameterized stored-procedure caller</t>
        </is>
      </c>
      <c r="E92" s="3" t="inlineStr">
        <is>
          <t>ENR</t>
        </is>
      </c>
      <c r="F92" s="5" t="inlineStr">
        <is>
          <t>Enrichment, Entity Resolution &amp; AI/ML</t>
        </is>
      </c>
      <c r="G92" s="8" t="inlineStr">
        <is>
          <t>Planned</t>
        </is>
      </c>
      <c r="H92" s="5" t="inlineStr">
        <is>
          <t>—</t>
        </is>
      </c>
      <c r="I92" s="5" t="inlineStr">
        <is>
          <t>—</t>
        </is>
      </c>
      <c r="J92" s="7" t="inlineStr">
        <is>
          <t>No</t>
        </is>
      </c>
      <c r="K92" s="5" t="inlineStr"/>
    </row>
    <row r="93" ht="20" customHeight="1">
      <c r="A93" s="3" t="inlineStr">
        <is>
          <t>SP-ENR-06</t>
        </is>
      </c>
      <c r="B93" s="6" t="inlineStr">
        <is>
          <t>enrichment.entity.link</t>
        </is>
      </c>
      <c r="C93" s="7" t="inlineStr">
        <is>
          <t>🔗</t>
        </is>
      </c>
      <c r="D93" s="5" t="inlineStr">
        <is>
          <t>Master entity resolution &amp; record linkage</t>
        </is>
      </c>
      <c r="E93" s="3" t="inlineStr">
        <is>
          <t>ENR</t>
        </is>
      </c>
      <c r="F93" s="5" t="inlineStr">
        <is>
          <t>Enrichment, Entity Resolution &amp; AI/ML</t>
        </is>
      </c>
      <c r="G93" s="8" t="inlineStr">
        <is>
          <t>Planned</t>
        </is>
      </c>
      <c r="H93" s="5" t="inlineStr">
        <is>
          <t>—</t>
        </is>
      </c>
      <c r="I93" s="5" t="inlineStr">
        <is>
          <t>—</t>
        </is>
      </c>
      <c r="J93" s="7" t="inlineStr">
        <is>
          <t>No</t>
        </is>
      </c>
      <c r="K93" s="5" t="inlineStr"/>
    </row>
    <row r="94" ht="20" customHeight="1">
      <c r="A94" s="3" t="inlineStr">
        <is>
          <t>SP-ENR-07</t>
        </is>
      </c>
      <c r="B94" s="6" t="inlineStr">
        <is>
          <t>enrichment.graph.cluster</t>
        </is>
      </c>
      <c r="C94" s="7" t="inlineStr">
        <is>
          <t>🕸️</t>
        </is>
      </c>
      <c r="D94" s="5" t="inlineStr">
        <is>
          <t>Graph cluster &amp; connected-component tagger</t>
        </is>
      </c>
      <c r="E94" s="3" t="inlineStr">
        <is>
          <t>ENR</t>
        </is>
      </c>
      <c r="F94" s="5" t="inlineStr">
        <is>
          <t>Enrichment, Entity Resolution &amp; AI/ML</t>
        </is>
      </c>
      <c r="G94" s="9" t="inlineStr">
        <is>
          <t>Partial</t>
        </is>
      </c>
      <c r="H94" s="5" t="inlineStr">
        <is>
          <t>—</t>
        </is>
      </c>
      <c r="I94" s="5" t="inlineStr">
        <is>
          <t>link-analysis</t>
        </is>
      </c>
      <c r="J94" s="7" t="inlineStr">
        <is>
          <t>No</t>
        </is>
      </c>
      <c r="K94" s="5" t="inlineStr">
        <is>
          <t>link-analysis VIEW ships (projection); no tagging step</t>
        </is>
      </c>
    </row>
    <row r="95" ht="20" customHeight="1">
      <c r="A95" s="3" t="inlineStr">
        <is>
          <t>SP-ENR-08</t>
        </is>
      </c>
      <c r="B95" s="6" t="inlineStr">
        <is>
          <t>ml.inference.onnx</t>
        </is>
      </c>
      <c r="C95" s="7" t="inlineStr">
        <is>
          <t>🤖</t>
        </is>
      </c>
      <c r="D95" s="5" t="inlineStr">
        <is>
          <t>ONNX Runtime embedded inference</t>
        </is>
      </c>
      <c r="E95" s="3" t="inlineStr">
        <is>
          <t>ENR</t>
        </is>
      </c>
      <c r="F95" s="5" t="inlineStr">
        <is>
          <t>Enrichment, Entity Resolution &amp; AI/ML</t>
        </is>
      </c>
      <c r="G95" s="8" t="inlineStr">
        <is>
          <t>Planned</t>
        </is>
      </c>
      <c r="H95" s="5" t="inlineStr">
        <is>
          <t>—</t>
        </is>
      </c>
      <c r="I95" s="5" t="inlineStr">
        <is>
          <t>—</t>
        </is>
      </c>
      <c r="J95" s="7" t="inlineStr">
        <is>
          <t>No</t>
        </is>
      </c>
      <c r="K95" s="5" t="inlineStr">
        <is>
          <t>the optional `inspecto-intelligence` module carries onnxruntime; never bundled</t>
        </is>
      </c>
    </row>
    <row r="96" ht="20" customHeight="1">
      <c r="A96" s="3" t="inlineStr">
        <is>
          <t>SP-ENR-09</t>
        </is>
      </c>
      <c r="B96" s="6" t="inlineStr">
        <is>
          <t>ml.llm.classify</t>
        </is>
      </c>
      <c r="C96" s="7" t="inlineStr">
        <is>
          <t>🏷️</t>
        </is>
      </c>
      <c r="D96" s="5" t="inlineStr">
        <is>
          <t>LLM zero-shot classifier &amp; tagging</t>
        </is>
      </c>
      <c r="E96" s="3" t="inlineStr">
        <is>
          <t>ENR</t>
        </is>
      </c>
      <c r="F96" s="5" t="inlineStr">
        <is>
          <t>Enrichment, Entity Resolution &amp; AI/ML</t>
        </is>
      </c>
      <c r="G96" s="8" t="inlineStr">
        <is>
          <t>Planned</t>
        </is>
      </c>
      <c r="H96" s="5" t="inlineStr">
        <is>
          <t>—</t>
        </is>
      </c>
      <c r="I96" s="5" t="inlineStr">
        <is>
          <t>—</t>
        </is>
      </c>
      <c r="J96" s="7" t="inlineStr">
        <is>
          <t>No</t>
        </is>
      </c>
      <c r="K96" s="5" t="inlineStr">
        <is>
          <t>assist/intelligence agents are never bundled (CP-14)</t>
        </is>
      </c>
    </row>
    <row r="97" ht="20" customHeight="1">
      <c r="A97" s="3" t="inlineStr">
        <is>
          <t>SP-ENR-10</t>
        </is>
      </c>
      <c r="B97" s="6" t="inlineStr">
        <is>
          <t>ml.embedding.vector</t>
        </is>
      </c>
      <c r="C97" s="7" t="inlineStr">
        <is>
          <t>📐</t>
        </is>
      </c>
      <c r="D97" s="5" t="inlineStr">
        <is>
          <t>Text embeddings &amp; vector generator</t>
        </is>
      </c>
      <c r="E97" s="3" t="inlineStr">
        <is>
          <t>ENR</t>
        </is>
      </c>
      <c r="F97" s="5" t="inlineStr">
        <is>
          <t>Enrichment, Entity Resolution &amp; AI/ML</t>
        </is>
      </c>
      <c r="G97" s="8" t="inlineStr">
        <is>
          <t>Planned</t>
        </is>
      </c>
      <c r="H97" s="5" t="inlineStr">
        <is>
          <t>—</t>
        </is>
      </c>
      <c r="I97" s="5" t="inlineStr">
        <is>
          <t>—</t>
        </is>
      </c>
      <c r="J97" s="7" t="inlineStr">
        <is>
          <t>No</t>
        </is>
      </c>
      <c r="K97" s="5" t="inlineStr"/>
    </row>
    <row r="98" ht="20" customHeight="1">
      <c r="A98" s="3" t="inlineStr">
        <is>
          <t>SP-CTL-01</t>
        </is>
      </c>
      <c r="B98" s="6" t="inlineStr">
        <is>
          <t>control.file.sequence_analyzer</t>
        </is>
      </c>
      <c r="C98" s="7" t="inlineStr">
        <is>
          <t>🕳️</t>
        </is>
      </c>
      <c r="D98" s="5" t="inlineStr">
        <is>
          <t>File sequence &amp; gap integrity analyzer</t>
        </is>
      </c>
      <c r="E98" s="3" t="inlineStr">
        <is>
          <t>CTL</t>
        </is>
      </c>
      <c r="F98" s="5" t="inlineStr">
        <is>
          <t>Control, Governance &amp; Sequence Integrity</t>
        </is>
      </c>
      <c r="G98" s="14" t="inlineStr">
        <is>
          <t>Delivered</t>
        </is>
      </c>
      <c r="H98" s="5" t="inlineStr">
        <is>
          <t>gap</t>
        </is>
      </c>
      <c r="I98" s="5" t="inlineStr">
        <is>
          <t>—</t>
        </is>
      </c>
      <c r="J98" s="15" t="inlineStr">
        <is>
          <t>Yes</t>
        </is>
      </c>
      <c r="K98" s="5" t="inlineStr">
        <is>
          <t>Collector `gap_detection: {sequence}` → the gap node + SEQUENCE_GAP events</t>
        </is>
      </c>
    </row>
    <row r="99" ht="20" customHeight="1">
      <c r="A99" s="3" t="inlineStr">
        <is>
          <t>SP-CTL-02</t>
        </is>
      </c>
      <c r="B99" s="6" t="inlineStr">
        <is>
          <t>control.gap.detector</t>
        </is>
      </c>
      <c r="C99" s="7" t="inlineStr">
        <is>
          <t>🕳️</t>
        </is>
      </c>
      <c r="D99" s="5" t="inlineStr">
        <is>
          <t>Sequence-gap &amp; data-loss watchdog</t>
        </is>
      </c>
      <c r="E99" s="3" t="inlineStr">
        <is>
          <t>CTL</t>
        </is>
      </c>
      <c r="F99" s="5" t="inlineStr">
        <is>
          <t>Control, Governance &amp; Sequence Integrity</t>
        </is>
      </c>
      <c r="G99" s="14" t="inlineStr">
        <is>
          <t>Delivered</t>
        </is>
      </c>
      <c r="H99" s="5" t="inlineStr">
        <is>
          <t>gap</t>
        </is>
      </c>
      <c r="I99" s="5" t="inlineStr">
        <is>
          <t>—</t>
        </is>
      </c>
      <c r="J99" s="15" t="inlineStr">
        <is>
          <t>Yes</t>
        </is>
      </c>
      <c r="K99" s="5" t="inlineStr">
        <is>
          <t>same detector; gaps raise ALERT objects via the EventObjectBridge</t>
        </is>
      </c>
    </row>
    <row r="100" ht="20" customHeight="1">
      <c r="A100" s="3" t="inlineStr">
        <is>
          <t>SP-CTL-03</t>
        </is>
      </c>
      <c r="B100" s="6" t="inlineStr">
        <is>
          <t>control.audit.stamp</t>
        </is>
      </c>
      <c r="C100" s="7" t="inlineStr">
        <is>
          <t>🏷️</t>
        </is>
      </c>
      <c r="D100" s="5" t="inlineStr">
        <is>
          <t>Audit metadata &amp; lineage stamper</t>
        </is>
      </c>
      <c r="E100" s="3" t="inlineStr">
        <is>
          <t>CTL</t>
        </is>
      </c>
      <c r="F100" s="5" t="inlineStr">
        <is>
          <t>Control, Governance &amp; Sequence Integrity</t>
        </is>
      </c>
      <c r="G100" s="14" t="inlineStr">
        <is>
          <t>Delivered</t>
        </is>
      </c>
      <c r="H100" s="5" t="inlineStr">
        <is>
          <t>sink.persistent</t>
        </is>
      </c>
      <c r="I100" s="5" t="inlineStr">
        <is>
          <t>—</t>
        </is>
      </c>
      <c r="J100" s="15" t="inlineStr">
        <is>
          <t>Yes</t>
        </is>
      </c>
      <c r="K100" s="5" t="inlineStr">
        <is>
          <t>`filename_column` + the per-file/batch/lineage ledgers + `__batch_id` provenance</t>
        </is>
      </c>
    </row>
    <row r="101" ht="20" customHeight="1">
      <c r="A101" s="3" t="inlineStr">
        <is>
          <t>SP-CTL-04</t>
        </is>
      </c>
      <c r="B101" s="6" t="inlineStr">
        <is>
          <t>control.throttle</t>
        </is>
      </c>
      <c r="C101" s="7" t="inlineStr">
        <is>
          <t>⏳</t>
        </is>
      </c>
      <c r="D101" s="5" t="inlineStr">
        <is>
          <t>Throttle &amp; rate limiter</t>
        </is>
      </c>
      <c r="E101" s="3" t="inlineStr">
        <is>
          <t>CTL</t>
        </is>
      </c>
      <c r="F101" s="5" t="inlineStr">
        <is>
          <t>Control, Governance &amp; Sequence Integrity</t>
        </is>
      </c>
      <c r="G101" s="14" t="inlineStr">
        <is>
          <t>Delivered</t>
        </is>
      </c>
      <c r="H101" s="5" t="inlineStr">
        <is>
          <t>acquisition</t>
        </is>
      </c>
      <c r="I101" s="5" t="inlineStr">
        <is>
          <t>—</t>
        </is>
      </c>
      <c r="J101" s="15" t="inlineStr">
        <is>
          <t>Yes</t>
        </is>
      </c>
      <c r="K101" s="5" t="inlineStr">
        <is>
          <t>Collector `fetch.rate_limit` + intake caps + the concurrency broker</t>
        </is>
      </c>
    </row>
    <row r="102" ht="20" customHeight="1">
      <c r="A102" s="3" t="inlineStr">
        <is>
          <t>SP-CTL-05</t>
        </is>
      </c>
      <c r="B102" s="6" t="inlineStr">
        <is>
          <t>control.circuitbreaker</t>
        </is>
      </c>
      <c r="C102" s="7" t="inlineStr">
        <is>
          <t>🚦</t>
        </is>
      </c>
      <c r="D102" s="5" t="inlineStr">
        <is>
          <t>Circuit breaker &amp; fallback switch</t>
        </is>
      </c>
      <c r="E102" s="3" t="inlineStr">
        <is>
          <t>CTL</t>
        </is>
      </c>
      <c r="F102" s="5" t="inlineStr">
        <is>
          <t>Control, Governance &amp; Sequence Integrity</t>
        </is>
      </c>
      <c r="G102" s="14" t="inlineStr">
        <is>
          <t>Delivered</t>
        </is>
      </c>
      <c r="H102" s="5" t="inlineStr">
        <is>
          <t>acquisition</t>
        </is>
      </c>
      <c r="I102" s="5" t="inlineStr">
        <is>
          <t>—</t>
        </is>
      </c>
      <c r="J102" s="15" t="inlineStr">
        <is>
          <t>Yes</t>
        </is>
      </c>
      <c r="K102" s="5" t="inlineStr">
        <is>
          <t>Collector `circuit_breaker` + `retry`</t>
        </is>
      </c>
    </row>
    <row r="103" ht="20" customHeight="1">
      <c r="A103" s="3" t="inlineStr">
        <is>
          <t>SP-CTL-06</t>
        </is>
      </c>
      <c r="B103" s="6" t="inlineStr">
        <is>
          <t>control.transaction.commit</t>
        </is>
      </c>
      <c r="C103" s="7" t="inlineStr">
        <is>
          <t>🏁</t>
        </is>
      </c>
      <c r="D103" s="5" t="inlineStr">
        <is>
          <t>Transaction &amp; commit controller</t>
        </is>
      </c>
      <c r="E103" s="3" t="inlineStr">
        <is>
          <t>CTL</t>
        </is>
      </c>
      <c r="F103" s="5" t="inlineStr">
        <is>
          <t>Control, Governance &amp; Sequence Integrity</t>
        </is>
      </c>
      <c r="G103" s="9" t="inlineStr">
        <is>
          <t>Partial</t>
        </is>
      </c>
      <c r="H103" s="5" t="inlineStr">
        <is>
          <t>—</t>
        </is>
      </c>
      <c r="I103" s="5" t="inlineStr">
        <is>
          <t>engine</t>
        </is>
      </c>
      <c r="J103" s="7" t="inlineStr">
        <is>
          <t>No</t>
        </is>
      </c>
      <c r="K103" s="5" t="inlineStr">
        <is>
          <t>the BranchCommitCoordinator ledger + bounded COMMIT retry are engine-internal, not authorable</t>
        </is>
      </c>
    </row>
    <row r="104" ht="20" customHeight="1">
      <c r="A104" s="3" t="inlineStr">
        <is>
          <t>SP-CTL-07</t>
        </is>
      </c>
      <c r="B104" s="6" t="inlineStr">
        <is>
          <t>control.alert.dispatch</t>
        </is>
      </c>
      <c r="C104" s="7" t="inlineStr">
        <is>
          <t>🚨</t>
        </is>
      </c>
      <c r="D104" s="5" t="inlineStr">
        <is>
          <t>Alert rule dispatcher</t>
        </is>
      </c>
      <c r="E104" s="3" t="inlineStr">
        <is>
          <t>CTL</t>
        </is>
      </c>
      <c r="F104" s="5" t="inlineStr">
        <is>
          <t>Control, Governance &amp; Sequence Integrity</t>
        </is>
      </c>
      <c r="G104" s="14" t="inlineStr">
        <is>
          <t>Delivered</t>
        </is>
      </c>
      <c r="H104" s="5" t="inlineStr">
        <is>
          <t>—</t>
        </is>
      </c>
      <c r="I104" s="5" t="inlineStr">
        <is>
          <t>alert-rule</t>
        </is>
      </c>
      <c r="J104" s="7" t="inlineStr">
        <is>
          <t>No</t>
        </is>
      </c>
      <c r="K104" s="5" t="inlineStr">
        <is>
          <t>Alert Rules over the ledgers → Alerts → channels; board CP-11/CP-15</t>
        </is>
      </c>
    </row>
    <row r="105" ht="20" customHeight="1">
      <c r="A105" s="3" t="inlineStr">
        <is>
          <t>SP-CTL-08</t>
        </is>
      </c>
      <c r="B105" s="6" t="inlineStr">
        <is>
          <t>control.sla.monitor</t>
        </is>
      </c>
      <c r="C105" s="7" t="inlineStr">
        <is>
          <t>⏱️</t>
        </is>
      </c>
      <c r="D105" s="5" t="inlineStr">
        <is>
          <t>SLA timeout &amp; heartbeat monitor</t>
        </is>
      </c>
      <c r="E105" s="3" t="inlineStr">
        <is>
          <t>CTL</t>
        </is>
      </c>
      <c r="F105" s="5" t="inlineStr">
        <is>
          <t>Control, Governance &amp; Sequence Integrity</t>
        </is>
      </c>
      <c r="G105" s="9" t="inlineStr">
        <is>
          <t>Partial</t>
        </is>
      </c>
      <c r="H105" s="5" t="inlineStr">
        <is>
          <t>—</t>
        </is>
      </c>
      <c r="I105" s="5" t="inlineStr">
        <is>
          <t>completeness-kpi</t>
        </is>
      </c>
      <c r="J105" s="7" t="inlineStr">
        <is>
          <t>No</t>
        </is>
      </c>
      <c r="K105" s="5" t="inlineStr">
        <is>
          <t>completeness KPI + `heartbeat` maintenance task; no SLA object</t>
        </is>
      </c>
    </row>
    <row r="106" ht="20" customHeight="1">
      <c r="A106" s="3" t="inlineStr">
        <is>
          <t>SP-SNK-01</t>
        </is>
      </c>
      <c r="B106" s="6" t="inlineStr">
        <is>
          <t>sink.file.parquet</t>
        </is>
      </c>
      <c r="C106" s="7" t="inlineStr">
        <is>
          <t>📁</t>
        </is>
      </c>
      <c r="D106" s="5" t="inlineStr">
        <is>
          <t>Parquet (snappy / zstd / gzip) partitioned store</t>
        </is>
      </c>
      <c r="E106" s="3" t="inlineStr">
        <is>
          <t>SNK</t>
        </is>
      </c>
      <c r="F106" s="5" t="inlineStr">
        <is>
          <t>Sinks, Storage &amp; Destinations</t>
        </is>
      </c>
      <c r="G106" s="14" t="inlineStr">
        <is>
          <t>Delivered</t>
        </is>
      </c>
      <c r="H106" s="5" t="inlineStr">
        <is>
          <t>sink.persistent</t>
        </is>
      </c>
      <c r="I106" s="5" t="inlineStr">
        <is>
          <t>—</t>
        </is>
      </c>
      <c r="J106" s="15" t="inlineStr">
        <is>
          <t>Yes</t>
        </is>
      </c>
      <c r="K106" s="5" t="inlineStr">
        <is>
          <t>Hive `year=/month=/day=` partitions</t>
        </is>
      </c>
    </row>
    <row r="107" ht="20" customHeight="1">
      <c r="A107" s="3" t="inlineStr">
        <is>
          <t>SP-SNK-02</t>
        </is>
      </c>
      <c r="B107" s="6" t="inlineStr">
        <is>
          <t>sink.file.csv</t>
        </is>
      </c>
      <c r="C107" s="7" t="inlineStr">
        <is>
          <t>📄</t>
        </is>
      </c>
      <c r="D107" s="5" t="inlineStr">
        <is>
          <t>CSV partitioned store</t>
        </is>
      </c>
      <c r="E107" s="3" t="inlineStr">
        <is>
          <t>SNK</t>
        </is>
      </c>
      <c r="F107" s="5" t="inlineStr">
        <is>
          <t>Sinks, Storage &amp; Destinations</t>
        </is>
      </c>
      <c r="G107" s="14" t="inlineStr">
        <is>
          <t>Delivered</t>
        </is>
      </c>
      <c r="H107" s="5" t="inlineStr">
        <is>
          <t>sink.persistent</t>
        </is>
      </c>
      <c r="I107" s="5" t="inlineStr">
        <is>
          <t>—</t>
        </is>
      </c>
      <c r="J107" s="15" t="inlineStr">
        <is>
          <t>Yes</t>
        </is>
      </c>
      <c r="K107" s="5" t="inlineStr">
        <is>
          <t>`output.format: CSV`</t>
        </is>
      </c>
    </row>
    <row r="108" ht="20" customHeight="1">
      <c r="A108" s="3" t="inlineStr">
        <is>
          <t>SP-SNK-03</t>
        </is>
      </c>
      <c r="B108" s="6" t="inlineStr">
        <is>
          <t>sink.ducklake</t>
        </is>
      </c>
      <c r="C108" s="7" t="inlineStr">
        <is>
          <t>🦆</t>
        </is>
      </c>
      <c r="D108" s="5" t="inlineStr">
        <is>
          <t>DuckLake catalog (PostgreSQL) sink</t>
        </is>
      </c>
      <c r="E108" s="3" t="inlineStr">
        <is>
          <t>SNK</t>
        </is>
      </c>
      <c r="F108" s="5" t="inlineStr">
        <is>
          <t>Sinks, Storage &amp; Destinations</t>
        </is>
      </c>
      <c r="G108" s="14" t="inlineStr">
        <is>
          <t>Delivered</t>
        </is>
      </c>
      <c r="H108" s="5" t="inlineStr">
        <is>
          <t>sink.persistent</t>
        </is>
      </c>
      <c r="I108" s="5" t="inlineStr">
        <is>
          <t>—</t>
        </is>
      </c>
      <c r="J108" s="15" t="inlineStr">
        <is>
          <t>Yes</t>
        </is>
      </c>
      <c r="K108" s="5" t="inlineStr">
        <is>
          <t>`output.ducklake` — needs the postgresql sidecar (Standard+)</t>
        </is>
      </c>
    </row>
    <row r="109" ht="20" customHeight="1">
      <c r="A109" s="3" t="inlineStr">
        <is>
          <t>SP-SNK-04</t>
        </is>
      </c>
      <c r="B109" s="6" t="inlineStr">
        <is>
          <t>sink.view</t>
        </is>
      </c>
      <c r="C109" s="7" t="inlineStr">
        <is>
          <t>👁️</t>
        </is>
      </c>
      <c r="D109" s="5" t="inlineStr">
        <is>
          <t>Derived view (no bytes, registered SQL)</t>
        </is>
      </c>
      <c r="E109" s="3" t="inlineStr">
        <is>
          <t>SNK</t>
        </is>
      </c>
      <c r="F109" s="5" t="inlineStr">
        <is>
          <t>Sinks, Storage &amp; Destinations</t>
        </is>
      </c>
      <c r="G109" s="9" t="inlineStr">
        <is>
          <t>Partial</t>
        </is>
      </c>
      <c r="H109" s="5" t="inlineStr">
        <is>
          <t>sink.view</t>
        </is>
      </c>
      <c r="I109" s="5" t="inlineStr">
        <is>
          <t>—</t>
        </is>
      </c>
      <c r="J109" s="7" t="inlineStr">
        <is>
          <t>No</t>
        </is>
      </c>
      <c r="K109" s="5" t="inlineStr">
        <is>
          <t>grandfathered node type; the Dataset/View surface replaced it</t>
        </is>
      </c>
    </row>
    <row r="110" ht="20" customHeight="1">
      <c r="A110" s="3" t="inlineStr">
        <is>
          <t>SP-SNK-05</t>
        </is>
      </c>
      <c r="B110" s="6" t="inlineStr">
        <is>
          <t>sink.quarantine</t>
        </is>
      </c>
      <c r="C110" s="7" t="inlineStr">
        <is>
          <t>☣️</t>
        </is>
      </c>
      <c r="D110" s="5" t="inlineStr">
        <is>
          <t>Quarantine error-log store</t>
        </is>
      </c>
      <c r="E110" s="3" t="inlineStr">
        <is>
          <t>SNK</t>
        </is>
      </c>
      <c r="F110" s="5" t="inlineStr">
        <is>
          <t>Sinks, Storage &amp; Destinations</t>
        </is>
      </c>
      <c r="G110" s="14" t="inlineStr">
        <is>
          <t>Delivered</t>
        </is>
      </c>
      <c r="H110" s="5" t="inlineStr">
        <is>
          <t>—</t>
        </is>
      </c>
      <c r="I110" s="5" t="inlineStr">
        <is>
          <t>sink.quarantine</t>
        </is>
      </c>
      <c r="J110" s="7" t="inlineStr">
        <is>
          <t>No</t>
        </is>
      </c>
      <c r="K110" s="5" t="inlineStr">
        <is>
          <t>structural rejects + `errors/&lt;base&gt;_errors.csv`</t>
        </is>
      </c>
    </row>
    <row r="111" ht="20" customHeight="1">
      <c r="A111" s="3" t="inlineStr">
        <is>
          <t>SP-SNK-06</t>
        </is>
      </c>
      <c r="B111" s="6" t="inlineStr">
        <is>
          <t>sink.archive</t>
        </is>
      </c>
      <c r="C111" s="7" t="inlineStr">
        <is>
          <t>📜</t>
        </is>
      </c>
      <c r="D111" s="5" t="inlineStr">
        <is>
          <t>Long-term compliance archive</t>
        </is>
      </c>
      <c r="E111" s="3" t="inlineStr">
        <is>
          <t>SNK</t>
        </is>
      </c>
      <c r="F111" s="5" t="inlineStr">
        <is>
          <t>Sinks, Storage &amp; Destinations</t>
        </is>
      </c>
      <c r="G111" s="14" t="inlineStr">
        <is>
          <t>Delivered</t>
        </is>
      </c>
      <c r="H111" s="5" t="inlineStr">
        <is>
          <t>acquisition</t>
        </is>
      </c>
      <c r="I111" s="5" t="inlineStr">
        <is>
          <t>—</t>
        </is>
      </c>
      <c r="J111" s="15" t="inlineStr">
        <is>
          <t>Yes</t>
        </is>
      </c>
      <c r="K111" s="5" t="inlineStr">
        <is>
          <t>Collector `post_action: MOVE archive_path` + the `backup` maintenance task</t>
        </is>
      </c>
    </row>
    <row r="112" ht="20" customHeight="1">
      <c r="A112" s="3" t="inlineStr">
        <is>
          <t>SP-SNK-07</t>
        </is>
      </c>
      <c r="B112" s="6" t="inlineStr">
        <is>
          <t>sink.lake.delta</t>
        </is>
      </c>
      <c r="C112" s="7" t="inlineStr">
        <is>
          <t>🗄️</t>
        </is>
      </c>
      <c r="D112" s="5" t="inlineStr">
        <is>
          <t>Delta Lake persistent table sink</t>
        </is>
      </c>
      <c r="E112" s="3" t="inlineStr">
        <is>
          <t>SNK</t>
        </is>
      </c>
      <c r="F112" s="5" t="inlineStr">
        <is>
          <t>Sinks, Storage &amp; Destinations</t>
        </is>
      </c>
      <c r="G112" s="8" t="inlineStr">
        <is>
          <t>Planned</t>
        </is>
      </c>
      <c r="H112" s="5" t="inlineStr">
        <is>
          <t>—</t>
        </is>
      </c>
      <c r="I112" s="5" t="inlineStr">
        <is>
          <t>—</t>
        </is>
      </c>
      <c r="J112" s="7" t="inlineStr">
        <is>
          <t>No</t>
        </is>
      </c>
      <c r="K112" s="5" t="inlineStr"/>
    </row>
    <row r="113" ht="20" customHeight="1">
      <c r="A113" s="3" t="inlineStr">
        <is>
          <t>SP-SNK-08</t>
        </is>
      </c>
      <c r="B113" s="6" t="inlineStr">
        <is>
          <t>sink.lake.iceberg</t>
        </is>
      </c>
      <c r="C113" s="7" t="inlineStr">
        <is>
          <t>🧊</t>
        </is>
      </c>
      <c r="D113" s="5" t="inlineStr">
        <is>
          <t>Apache Iceberg append / upsert sink</t>
        </is>
      </c>
      <c r="E113" s="3" t="inlineStr">
        <is>
          <t>SNK</t>
        </is>
      </c>
      <c r="F113" s="5" t="inlineStr">
        <is>
          <t>Sinks, Storage &amp; Destinations</t>
        </is>
      </c>
      <c r="G113" s="8" t="inlineStr">
        <is>
          <t>Planned</t>
        </is>
      </c>
      <c r="H113" s="5" t="inlineStr">
        <is>
          <t>—</t>
        </is>
      </c>
      <c r="I113" s="5" t="inlineStr">
        <is>
          <t>—</t>
        </is>
      </c>
      <c r="J113" s="7" t="inlineStr">
        <is>
          <t>No</t>
        </is>
      </c>
      <c r="K113" s="5" t="inlineStr"/>
    </row>
    <row r="114" ht="20" customHeight="1">
      <c r="A114" s="3" t="inlineStr">
        <is>
          <t>SP-SNK-09</t>
        </is>
      </c>
      <c r="B114" s="6" t="inlineStr">
        <is>
          <t>sink.db.clickhouse</t>
        </is>
      </c>
      <c r="C114" s="7" t="inlineStr">
        <is>
          <t>📊</t>
        </is>
      </c>
      <c r="D114" s="5" t="inlineStr">
        <is>
          <t>ClickHouse / StarRocks analytical sink</t>
        </is>
      </c>
      <c r="E114" s="3" t="inlineStr">
        <is>
          <t>SNK</t>
        </is>
      </c>
      <c r="F114" s="5" t="inlineStr">
        <is>
          <t>Sinks, Storage &amp; Destinations</t>
        </is>
      </c>
      <c r="G114" s="8" t="inlineStr">
        <is>
          <t>Planned</t>
        </is>
      </c>
      <c r="H114" s="5" t="inlineStr">
        <is>
          <t>—</t>
        </is>
      </c>
      <c r="I114" s="5" t="inlineStr">
        <is>
          <t>—</t>
        </is>
      </c>
      <c r="J114" s="7" t="inlineStr">
        <is>
          <t>No</t>
        </is>
      </c>
      <c r="K114" s="5" t="inlineStr"/>
    </row>
    <row r="115" ht="20" customHeight="1">
      <c r="A115" s="3" t="inlineStr">
        <is>
          <t>SP-SNK-10</t>
        </is>
      </c>
      <c r="B115" s="6" t="inlineStr">
        <is>
          <t>sink.file.excel</t>
        </is>
      </c>
      <c r="C115" s="7" t="inlineStr">
        <is>
          <t>📑</t>
        </is>
      </c>
      <c r="D115" s="5" t="inlineStr">
        <is>
          <t>Excel multi-tab report sink</t>
        </is>
      </c>
      <c r="E115" s="3" t="inlineStr">
        <is>
          <t>SNK</t>
        </is>
      </c>
      <c r="F115" s="5" t="inlineStr">
        <is>
          <t>Sinks, Storage &amp; Destinations</t>
        </is>
      </c>
      <c r="G115" s="8" t="inlineStr">
        <is>
          <t>Planned</t>
        </is>
      </c>
      <c r="H115" s="5" t="inlineStr">
        <is>
          <t>—</t>
        </is>
      </c>
      <c r="I115" s="5" t="inlineStr">
        <is>
          <t>—</t>
        </is>
      </c>
      <c r="J115" s="7" t="inlineStr">
        <is>
          <t>No</t>
        </is>
      </c>
      <c r="K115" s="5" t="inlineStr"/>
    </row>
    <row r="116" ht="20" customHeight="1">
      <c r="A116" s="3" t="inlineStr">
        <is>
          <t>SP-SNK-11</t>
        </is>
      </c>
      <c r="B116" s="6" t="inlineStr">
        <is>
          <t>sink.stream.kafka</t>
        </is>
      </c>
      <c r="C116" s="7" t="inlineStr">
        <is>
          <t>📤</t>
        </is>
      </c>
      <c r="D116" s="5" t="inlineStr">
        <is>
          <t>Apache Kafka topic producer</t>
        </is>
      </c>
      <c r="E116" s="3" t="inlineStr">
        <is>
          <t>SNK</t>
        </is>
      </c>
      <c r="F116" s="5" t="inlineStr">
        <is>
          <t>Sinks, Storage &amp; Destinations</t>
        </is>
      </c>
      <c r="G116" s="8" t="inlineStr">
        <is>
          <t>Planned</t>
        </is>
      </c>
      <c r="H116" s="5" t="inlineStr">
        <is>
          <t>—</t>
        </is>
      </c>
      <c r="I116" s="5" t="inlineStr">
        <is>
          <t>—</t>
        </is>
      </c>
      <c r="J116" s="7" t="inlineStr">
        <is>
          <t>No</t>
        </is>
      </c>
      <c r="K116" s="5" t="inlineStr"/>
    </row>
    <row r="117" ht="20" customHeight="1">
      <c r="A117" s="3" t="inlineStr">
        <is>
          <t>SP-SNK-12</t>
        </is>
      </c>
      <c r="B117" s="6" t="inlineStr">
        <is>
          <t>sink.stream.aws</t>
        </is>
      </c>
      <c r="C117" s="7" t="inlineStr">
        <is>
          <t>📨</t>
        </is>
      </c>
      <c r="D117" s="5" t="inlineStr">
        <is>
          <t>AWS SQS / SNS event publisher</t>
        </is>
      </c>
      <c r="E117" s="3" t="inlineStr">
        <is>
          <t>SNK</t>
        </is>
      </c>
      <c r="F117" s="5" t="inlineStr">
        <is>
          <t>Sinks, Storage &amp; Destinations</t>
        </is>
      </c>
      <c r="G117" s="8" t="inlineStr">
        <is>
          <t>Planned</t>
        </is>
      </c>
      <c r="H117" s="5" t="inlineStr">
        <is>
          <t>—</t>
        </is>
      </c>
      <c r="I117" s="5" t="inlineStr">
        <is>
          <t>—</t>
        </is>
      </c>
      <c r="J117" s="7" t="inlineStr">
        <is>
          <t>No</t>
        </is>
      </c>
      <c r="K117" s="5" t="inlineStr"/>
    </row>
    <row r="118" ht="20" customHeight="1">
      <c r="A118" s="3" t="inlineStr">
        <is>
          <t>SP-SNK-13</t>
        </is>
      </c>
      <c r="B118" s="6" t="inlineStr">
        <is>
          <t>sink.notify.email</t>
        </is>
      </c>
      <c r="C118" s="7" t="inlineStr">
        <is>
          <t>📧</t>
        </is>
      </c>
      <c r="D118" s="5" t="inlineStr">
        <is>
          <t>Email &amp; report dispatcher</t>
        </is>
      </c>
      <c r="E118" s="3" t="inlineStr">
        <is>
          <t>SNK</t>
        </is>
      </c>
      <c r="F118" s="5" t="inlineStr">
        <is>
          <t>Sinks, Storage &amp; Destinations</t>
        </is>
      </c>
      <c r="G118" s="9" t="inlineStr">
        <is>
          <t>Partial</t>
        </is>
      </c>
      <c r="H118" s="5" t="inlineStr">
        <is>
          <t>—</t>
        </is>
      </c>
      <c r="I118" s="5" t="inlineStr">
        <is>
          <t>mail.send</t>
        </is>
      </c>
      <c r="J118" s="7" t="inlineStr">
        <is>
          <t>No</t>
        </is>
      </c>
      <c r="K118" s="5" t="inlineStr">
        <is>
          <t>the `mail.send` JOB + mail channels; not a chain sink</t>
        </is>
      </c>
    </row>
    <row r="119" ht="20" customHeight="1">
      <c r="A119" s="3" t="inlineStr">
        <is>
          <t>SP-SNK-14</t>
        </is>
      </c>
      <c r="B119" s="6" t="inlineStr">
        <is>
          <t>sink.api.webhook</t>
        </is>
      </c>
      <c r="C119" s="7" t="inlineStr">
        <is>
          <t>🪝</t>
        </is>
      </c>
      <c r="D119" s="5" t="inlineStr">
        <is>
          <t>Outbound webhook dispatcher</t>
        </is>
      </c>
      <c r="E119" s="3" t="inlineStr">
        <is>
          <t>SNK</t>
        </is>
      </c>
      <c r="F119" s="5" t="inlineStr">
        <is>
          <t>Sinks, Storage &amp; Destinations</t>
        </is>
      </c>
      <c r="G119" s="9" t="inlineStr">
        <is>
          <t>Partial</t>
        </is>
      </c>
      <c r="H119" s="5" t="inlineStr">
        <is>
          <t>—</t>
        </is>
      </c>
      <c r="I119" s="5" t="inlineStr">
        <is>
          <t>channel</t>
        </is>
      </c>
      <c r="J119" s="7" t="inlineStr">
        <is>
          <t>No</t>
        </is>
      </c>
      <c r="K119" s="5" t="inlineStr">
        <is>
          <t>webhook notification channel exists; not a chain sink</t>
        </is>
      </c>
    </row>
    <row r="120" ht="20" customHeight="1">
      <c r="A120" s="3" t="inlineStr">
        <is>
          <t>SP-SNK-15</t>
        </is>
      </c>
      <c r="B120" s="6" t="inlineStr">
        <is>
          <t>sink.dlq</t>
        </is>
      </c>
      <c r="C120" s="7" t="inlineStr">
        <is>
          <t>🕳️</t>
        </is>
      </c>
      <c r="D120" s="5" t="inlineStr">
        <is>
          <t>Dead-letter queue</t>
        </is>
      </c>
      <c r="E120" s="3" t="inlineStr">
        <is>
          <t>SNK</t>
        </is>
      </c>
      <c r="F120" s="5" t="inlineStr">
        <is>
          <t>Sinks, Storage &amp; Destinations</t>
        </is>
      </c>
      <c r="G120" s="8" t="inlineStr">
        <is>
          <t>Planned</t>
        </is>
      </c>
      <c r="H120" s="5" t="inlineStr">
        <is>
          <t>—</t>
        </is>
      </c>
      <c r="I120" s="5" t="inlineStr">
        <is>
          <t>—</t>
        </is>
      </c>
      <c r="J120" s="7" t="inlineStr">
        <is>
          <t>No</t>
        </is>
      </c>
      <c r="K120" s="5" t="inlineStr"/>
    </row>
  </sheetData>
  <autoFilter ref="A1:K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7" customWidth="1" min="3" max="3"/>
    <col width="24" customWidth="1" min="4" max="4"/>
    <col width="15" customWidth="1" min="5" max="5"/>
    <col width="20" customWidth="1" min="6" max="6"/>
    <col width="15" customWidth="1" min="7" max="7"/>
  </cols>
  <sheetData>
    <row r="1" ht="30" customHeight="1">
      <c r="A1" s="16" t="inlineStr">
        <is>
          <t>Inspecto Step Processors Portfolio Dashboard</t>
        </is>
      </c>
    </row>
    <row r="2"/>
    <row r="3">
      <c r="A3" s="17" t="inlineStr">
        <is>
          <t>Portfolio Status Summary (All 119 Processors)</t>
        </is>
      </c>
    </row>
    <row r="4" ht="24" customHeight="1">
      <c r="A4" s="1" t="inlineStr">
        <is>
          <t>Family Code</t>
        </is>
      </c>
      <c r="B4" s="2" t="inlineStr">
        <is>
          <t>Family Label</t>
        </is>
      </c>
      <c r="C4" s="1" t="inlineStr">
        <is>
          <t>Delivered (✅)</t>
        </is>
      </c>
      <c r="D4" s="1" t="inlineStr">
        <is>
          <t>Partial (🟡)</t>
        </is>
      </c>
      <c r="E4" s="1" t="inlineStr">
        <is>
          <t>Planned (🔲)</t>
        </is>
      </c>
      <c r="F4" s="1" t="inlineStr">
        <is>
          <t>Total Processors</t>
        </is>
      </c>
      <c r="G4" s="1" t="inlineStr">
        <is>
          <t>% Delivered</t>
        </is>
      </c>
    </row>
    <row r="5" ht="20" customHeight="1">
      <c r="A5" s="18" t="inlineStr">
        <is>
          <t>ACQ</t>
        </is>
      </c>
      <c r="B5" s="19" t="inlineStr">
        <is>
          <t>Collectors &amp; Ingestion</t>
        </is>
      </c>
      <c r="C5" s="18">
        <f>COUNTIFS('All 119 Processors'!$E:$E, A5, 'All 119 Processors'!$G:$G, "Delivered")</f>
        <v/>
      </c>
      <c r="D5" s="18">
        <f>COUNTIFS('All 119 Processors'!$E:$E, A5, 'All 119 Processors'!$G:$G, "Partial")</f>
        <v/>
      </c>
      <c r="E5" s="18">
        <f>COUNTIFS('All 119 Processors'!$E:$E, A5, 'All 119 Processors'!$G:$G, "Planned")</f>
        <v/>
      </c>
      <c r="F5" s="18">
        <f>SUM(C5:E5)</f>
        <v/>
      </c>
      <c r="G5" s="20">
        <f>C5/F5</f>
        <v/>
      </c>
    </row>
    <row r="6" ht="20" customHeight="1">
      <c r="A6" s="18" t="inlineStr">
        <is>
          <t>PRS</t>
        </is>
      </c>
      <c r="B6" s="19" t="inlineStr">
        <is>
          <t>Extraction &amp; Format Parsers</t>
        </is>
      </c>
      <c r="C6" s="18">
        <f>COUNTIFS('All 119 Processors'!$E:$E, A6, 'All 119 Processors'!$G:$G, "Delivered")</f>
        <v/>
      </c>
      <c r="D6" s="18">
        <f>COUNTIFS('All 119 Processors'!$E:$E, A6, 'All 119 Processors'!$G:$G, "Partial")</f>
        <v/>
      </c>
      <c r="E6" s="18">
        <f>COUNTIFS('All 119 Processors'!$E:$E, A6, 'All 119 Processors'!$G:$G, "Planned")</f>
        <v/>
      </c>
      <c r="F6" s="18">
        <f>SUM(C6:E6)</f>
        <v/>
      </c>
      <c r="G6" s="20">
        <f>C6/F6</f>
        <v/>
      </c>
    </row>
    <row r="7" ht="20" customHeight="1">
      <c r="A7" s="18" t="inlineStr">
        <is>
          <t>DQ</t>
        </is>
      </c>
      <c r="B7" s="19" t="inlineStr">
        <is>
          <t>Data Quality, Validation &amp; Cleansing</t>
        </is>
      </c>
      <c r="C7" s="18">
        <f>COUNTIFS('All 119 Processors'!$E:$E, A7, 'All 119 Processors'!$G:$G, "Delivered")</f>
        <v/>
      </c>
      <c r="D7" s="18">
        <f>COUNTIFS('All 119 Processors'!$E:$E, A7, 'All 119 Processors'!$G:$G, "Partial")</f>
        <v/>
      </c>
      <c r="E7" s="18">
        <f>COUNTIFS('All 119 Processors'!$E:$E, A7, 'All 119 Processors'!$G:$G, "Planned")</f>
        <v/>
      </c>
      <c r="F7" s="18">
        <f>SUM(C7:E7)</f>
        <v/>
      </c>
      <c r="G7" s="20">
        <f>C7/F7</f>
        <v/>
      </c>
    </row>
    <row r="8" ht="20" customHeight="1">
      <c r="A8" s="18" t="inlineStr">
        <is>
          <t>XFM</t>
        </is>
      </c>
      <c r="B8" s="19" t="inlineStr">
        <is>
          <t>Transformers &amp; Dimensional Modeling</t>
        </is>
      </c>
      <c r="C8" s="18">
        <f>COUNTIFS('All 119 Processors'!$E:$E, A8, 'All 119 Processors'!$G:$G, "Delivered")</f>
        <v/>
      </c>
      <c r="D8" s="18">
        <f>COUNTIFS('All 119 Processors'!$E:$E, A8, 'All 119 Processors'!$G:$G, "Partial")</f>
        <v/>
      </c>
      <c r="E8" s="18">
        <f>COUNTIFS('All 119 Processors'!$E:$E, A8, 'All 119 Processors'!$G:$G, "Planned")</f>
        <v/>
      </c>
      <c r="F8" s="18">
        <f>SUM(C8:E8)</f>
        <v/>
      </c>
      <c r="G8" s="20">
        <f>C8/F8</f>
        <v/>
      </c>
    </row>
    <row r="9" ht="20" customHeight="1">
      <c r="A9" s="18" t="inlineStr">
        <is>
          <t>BI</t>
        </is>
      </c>
      <c r="B9" s="19" t="inlineStr">
        <is>
          <t>Analytics, Time-Series &amp; Semantic Modeling</t>
        </is>
      </c>
      <c r="C9" s="18">
        <f>COUNTIFS('All 119 Processors'!$E:$E, A9, 'All 119 Processors'!$G:$G, "Delivered")</f>
        <v/>
      </c>
      <c r="D9" s="18">
        <f>COUNTIFS('All 119 Processors'!$E:$E, A9, 'All 119 Processors'!$G:$G, "Partial")</f>
        <v/>
      </c>
      <c r="E9" s="18">
        <f>COUNTIFS('All 119 Processors'!$E:$E, A9, 'All 119 Processors'!$G:$G, "Planned")</f>
        <v/>
      </c>
      <c r="F9" s="18">
        <f>SUM(C9:E9)</f>
        <v/>
      </c>
      <c r="G9" s="20">
        <f>C9/F9</f>
        <v/>
      </c>
    </row>
    <row r="10" ht="20" customHeight="1">
      <c r="A10" s="18" t="inlineStr">
        <is>
          <t>ENR</t>
        </is>
      </c>
      <c r="B10" s="19" t="inlineStr">
        <is>
          <t>Enrichment, Entity Resolution &amp; AI/ML</t>
        </is>
      </c>
      <c r="C10" s="18">
        <f>COUNTIFS('All 119 Processors'!$E:$E, A10, 'All 119 Processors'!$G:$G, "Delivered")</f>
        <v/>
      </c>
      <c r="D10" s="18">
        <f>COUNTIFS('All 119 Processors'!$E:$E, A10, 'All 119 Processors'!$G:$G, "Partial")</f>
        <v/>
      </c>
      <c r="E10" s="18">
        <f>COUNTIFS('All 119 Processors'!$E:$E, A10, 'All 119 Processors'!$G:$G, "Planned")</f>
        <v/>
      </c>
      <c r="F10" s="18">
        <f>SUM(C10:E10)</f>
        <v/>
      </c>
      <c r="G10" s="20">
        <f>C10/F10</f>
        <v/>
      </c>
    </row>
    <row r="11" ht="20" customHeight="1">
      <c r="A11" s="18" t="inlineStr">
        <is>
          <t>CTL</t>
        </is>
      </c>
      <c r="B11" s="19" t="inlineStr">
        <is>
          <t>Control, Governance &amp; Sequence Integrity</t>
        </is>
      </c>
      <c r="C11" s="18">
        <f>COUNTIFS('All 119 Processors'!$E:$E, A11, 'All 119 Processors'!$G:$G, "Delivered")</f>
        <v/>
      </c>
      <c r="D11" s="18">
        <f>COUNTIFS('All 119 Processors'!$E:$E, A11, 'All 119 Processors'!$G:$G, "Partial")</f>
        <v/>
      </c>
      <c r="E11" s="18">
        <f>COUNTIFS('All 119 Processors'!$E:$E, A11, 'All 119 Processors'!$G:$G, "Planned")</f>
        <v/>
      </c>
      <c r="F11" s="18">
        <f>SUM(C11:E11)</f>
        <v/>
      </c>
      <c r="G11" s="20">
        <f>C11/F11</f>
        <v/>
      </c>
    </row>
    <row r="12" ht="20" customHeight="1">
      <c r="A12" s="18" t="inlineStr">
        <is>
          <t>SNK</t>
        </is>
      </c>
      <c r="B12" s="19" t="inlineStr">
        <is>
          <t>Sinks, Storage &amp; Destinations</t>
        </is>
      </c>
      <c r="C12" s="18">
        <f>COUNTIFS('All 119 Processors'!$E:$E, A12, 'All 119 Processors'!$G:$G, "Delivered")</f>
        <v/>
      </c>
      <c r="D12" s="18">
        <f>COUNTIFS('All 119 Processors'!$E:$E, A12, 'All 119 Processors'!$G:$G, "Partial")</f>
        <v/>
      </c>
      <c r="E12" s="18">
        <f>COUNTIFS('All 119 Processors'!$E:$E, A12, 'All 119 Processors'!$G:$G, "Planned")</f>
        <v/>
      </c>
      <c r="F12" s="18">
        <f>SUM(C12:E12)</f>
        <v/>
      </c>
      <c r="G12" s="20">
        <f>C12/F12</f>
        <v/>
      </c>
    </row>
    <row r="13" ht="22" customHeight="1">
      <c r="A13" s="21" t="inlineStr">
        <is>
          <t>TOTAL</t>
        </is>
      </c>
      <c r="B13" s="22" t="inlineStr">
        <is>
          <t>All 8 Families</t>
        </is>
      </c>
      <c r="C13" s="21">
        <f>SUM(C5:C12)</f>
        <v/>
      </c>
      <c r="D13" s="21">
        <f>SUM(D5:D12)</f>
        <v/>
      </c>
      <c r="E13" s="21">
        <f>SUM(E5:E12)</f>
        <v/>
      </c>
      <c r="F13" s="21">
        <f>SUM(F5:F12)</f>
        <v/>
      </c>
      <c r="G13" s="23">
        <f>C13/F13</f>
        <v/>
      </c>
    </row>
    <row r="14"/>
    <row r="15"/>
    <row r="16">
      <c r="A16" s="17" t="inlineStr">
        <is>
          <t>Pending Processors Priority Distribution (Sheet: Priority &amp; Sequence)</t>
        </is>
      </c>
    </row>
    <row r="17" ht="24" customHeight="1">
      <c r="A17" s="1" t="inlineStr">
        <is>
          <t>Priority Tier</t>
        </is>
      </c>
      <c r="B17" s="2" t="inlineStr">
        <is>
          <t>Definition</t>
        </is>
      </c>
      <c r="C17" s="1" t="inlineStr">
        <is>
          <t>Count</t>
        </is>
      </c>
      <c r="D17" s="1" t="inlineStr">
        <is>
          <t>% of Pending Backlog</t>
        </is>
      </c>
    </row>
    <row r="18" ht="20" customHeight="1">
      <c r="A18" s="24" t="inlineStr">
        <is>
          <t>P0</t>
        </is>
      </c>
      <c r="B18" s="19" t="inlineStr">
        <is>
          <t>Critical / Immediate (Phase 1 Baseline &amp; Quick Wins)</t>
        </is>
      </c>
      <c r="C18" s="18">
        <f>COUNTIF('Priority &amp; Sequence'!$B:$B, A18)</f>
        <v/>
      </c>
      <c r="D18" s="20">
        <f>C18/SUM($C$18:$C$22)</f>
        <v/>
      </c>
    </row>
    <row r="19" ht="20" customHeight="1">
      <c r="A19" s="25" t="inlineStr">
        <is>
          <t>P1</t>
        </is>
      </c>
      <c r="B19" s="19" t="inlineStr">
        <is>
          <t>High Value (Lakehouse, Streaming, Modeling, Security)</t>
        </is>
      </c>
      <c r="C19" s="18">
        <f>COUNTIF('Priority &amp; Sequence'!$B:$B, A19)</f>
        <v/>
      </c>
      <c r="D19" s="20">
        <f>C19/SUM($C$18:$C$22)</f>
        <v/>
      </c>
    </row>
    <row r="20" ht="20" customHeight="1">
      <c r="A20" s="26" t="inlineStr">
        <is>
          <t>P2</t>
        </is>
      </c>
      <c r="B20" s="19" t="inlineStr">
        <is>
          <t>Medium Value (Multi-Cloud, Advanced Analytics, Quality)</t>
        </is>
      </c>
      <c r="C20" s="18">
        <f>COUNTIF('Priority &amp; Sequence'!$B:$B, A20)</f>
        <v/>
      </c>
      <c r="D20" s="20">
        <f>C20/SUM($C$18:$C$22)</f>
        <v/>
      </c>
    </row>
    <row r="21" ht="20" customHeight="1">
      <c r="A21" s="27" t="inlineStr">
        <is>
          <t>P3</t>
        </is>
      </c>
      <c r="B21" s="19" t="inlineStr">
        <is>
          <t>Specialized / Niche (Telecom, FinTech, Legacy, AI/ML)</t>
        </is>
      </c>
      <c r="C21" s="18">
        <f>COUNTIF('Priority &amp; Sequence'!$B:$B, A21)</f>
        <v/>
      </c>
      <c r="D21" s="20">
        <f>C21/SUM($C$18:$C$22)</f>
        <v/>
      </c>
    </row>
    <row r="22" ht="20" customHeight="1">
      <c r="A22" s="28" t="inlineStr">
        <is>
          <t>N/A</t>
        </is>
      </c>
      <c r="B22" s="19" t="inlineStr">
        <is>
          <t>Internal Engine Core or Superseded Capabilities</t>
        </is>
      </c>
      <c r="C22" s="18">
        <f>COUNTIF('Priority &amp; Sequence'!$B:$B, A22)</f>
        <v/>
      </c>
      <c r="D22" s="20">
        <f>C22/SUM($C$18:$C$22)</f>
        <v/>
      </c>
    </row>
    <row r="23" ht="22" customHeight="1">
      <c r="A23" s="29" t="inlineStr">
        <is>
          <t>TOTAL</t>
        </is>
      </c>
      <c r="B23" s="22" t="inlineStr">
        <is>
          <t>Total Pending Backlog</t>
        </is>
      </c>
      <c r="C23" s="29">
        <f>SUM(C18:C22)</f>
        <v/>
      </c>
      <c r="D23" s="29" t="inlineStr">
        <is>
          <t>100.0%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2026-09-06T07:41:00Z</dcterms:created>
  <dcterms:modified xmlns:dcterms="http://purl.org/dc/terms/" xmlns:xsi="http://www.w3.org/2001/XMLSchema-instance" xsi:type="dcterms:W3CDTF">2026-09-06T07:41:00Z</dcterms:modified>
</cp:coreProperties>
</file>